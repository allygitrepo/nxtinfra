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xampp\htdocs\athang\budget\uploads\"/>
    </mc:Choice>
  </mc:AlternateContent>
  <xr:revisionPtr revIDLastSave="0" documentId="8_{E0916609-7B1F-4F4C-9D94-65B05F5BC38E}" xr6:coauthVersionLast="47" xr6:coauthVersionMax="47" xr10:uidLastSave="{00000000-0000-0000-0000-000000000000}"/>
  <bookViews>
    <workbookView xWindow="-108" yWindow="-108" windowWidth="23256" windowHeight="12456" xr2:uid="{028C035D-A6F9-46C7-96E6-BCE5B25CB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H75" i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H74" i="1"/>
  <c r="H73" i="1"/>
  <c r="I73" i="1" s="1"/>
  <c r="J73" i="1" s="1"/>
  <c r="K73" i="1" s="1"/>
  <c r="H72" i="1"/>
  <c r="H71" i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H70" i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H69" i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H68" i="1"/>
  <c r="I68" i="1" s="1"/>
  <c r="J68" i="1" s="1"/>
  <c r="K68" i="1" s="1"/>
  <c r="L68" i="1" s="1"/>
  <c r="M68" i="1" s="1"/>
  <c r="N68" i="1" s="1"/>
  <c r="H67" i="1"/>
  <c r="I67" i="1" s="1"/>
  <c r="H66" i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H65" i="1"/>
  <c r="I65" i="1" s="1"/>
  <c r="J65" i="1" s="1"/>
  <c r="H64" i="1"/>
  <c r="H63" i="1"/>
  <c r="I63" i="1" s="1"/>
  <c r="H62" i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H61" i="1"/>
  <c r="I61" i="1" s="1"/>
  <c r="H60" i="1"/>
  <c r="I60" i="1" s="1"/>
  <c r="J60" i="1" s="1"/>
  <c r="K60" i="1" s="1"/>
  <c r="L60" i="1" s="1"/>
  <c r="H59" i="1"/>
  <c r="I59" i="1" s="1"/>
  <c r="H58" i="1"/>
  <c r="H57" i="1"/>
  <c r="I57" i="1" s="1"/>
  <c r="J57" i="1" s="1"/>
  <c r="H56" i="1"/>
  <c r="H55" i="1"/>
  <c r="I55" i="1" s="1"/>
  <c r="H54" i="1"/>
  <c r="I54" i="1" s="1"/>
  <c r="H53" i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H52" i="1"/>
  <c r="I52" i="1" s="1"/>
  <c r="J52" i="1" s="1"/>
  <c r="K52" i="1" s="1"/>
  <c r="L52" i="1" s="1"/>
  <c r="H51" i="1"/>
  <c r="I51" i="1" s="1"/>
  <c r="H50" i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H49" i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H48" i="1"/>
  <c r="H47" i="1"/>
  <c r="I47" i="1" s="1"/>
  <c r="H46" i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H45" i="1"/>
  <c r="H44" i="1"/>
  <c r="I44" i="1" s="1"/>
  <c r="J44" i="1" s="1"/>
  <c r="K44" i="1" s="1"/>
  <c r="L44" i="1" s="1"/>
  <c r="H43" i="1"/>
  <c r="I43" i="1" s="1"/>
  <c r="H42" i="1"/>
  <c r="I42" i="1" s="1"/>
  <c r="H41" i="1"/>
  <c r="I41" i="1" s="1"/>
  <c r="J41" i="1" s="1"/>
  <c r="K41" i="1" s="1"/>
  <c r="H40" i="1"/>
  <c r="H39" i="1"/>
  <c r="I39" i="1" s="1"/>
  <c r="H38" i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H37" i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H36" i="1"/>
  <c r="I36" i="1" s="1"/>
  <c r="J36" i="1" s="1"/>
  <c r="K36" i="1" s="1"/>
  <c r="L36" i="1" s="1"/>
  <c r="H35" i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H34" i="1"/>
  <c r="H33" i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H32" i="1"/>
  <c r="H31" i="1"/>
  <c r="I31" i="1" s="1"/>
  <c r="H30" i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H29" i="1"/>
  <c r="H28" i="1"/>
  <c r="I28" i="1" s="1"/>
  <c r="J28" i="1" s="1"/>
  <c r="K28" i="1" s="1"/>
  <c r="L28" i="1" s="1"/>
  <c r="H27" i="1"/>
  <c r="I27" i="1" s="1"/>
  <c r="I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H26" i="1"/>
  <c r="H25" i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H24" i="1"/>
  <c r="H23" i="1"/>
  <c r="I23" i="1" s="1"/>
  <c r="H22" i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H21" i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H20" i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H19" i="1"/>
  <c r="I19" i="1" s="1"/>
  <c r="H18" i="1"/>
  <c r="I18" i="1" s="1"/>
  <c r="H17" i="1"/>
  <c r="I17" i="1" s="1"/>
  <c r="H16" i="1"/>
  <c r="H15" i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H14" i="1"/>
  <c r="I14" i="1" s="1"/>
  <c r="H13" i="1"/>
  <c r="I13" i="1" s="1"/>
  <c r="H12" i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H11" i="1"/>
  <c r="H10" i="1"/>
  <c r="I10" i="1" s="1"/>
  <c r="H9" i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H8" i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G8" i="1"/>
  <c r="H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I6" i="1"/>
  <c r="H6" i="1"/>
  <c r="H5" i="1"/>
  <c r="I5" i="1" s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H3" i="1"/>
  <c r="H2" i="1"/>
  <c r="I34" i="1" l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G33" i="1"/>
  <c r="G15" i="1"/>
  <c r="G26" i="1"/>
  <c r="J13" i="1"/>
  <c r="K13" i="1" s="1"/>
  <c r="L13" i="1" s="1"/>
  <c r="M13" i="1" s="1"/>
  <c r="N13" i="1" s="1"/>
  <c r="O13" i="1" s="1"/>
  <c r="P13" i="1" s="1"/>
  <c r="Q13" i="1" s="1"/>
  <c r="R13" i="1" s="1"/>
  <c r="S13" i="1" s="1"/>
  <c r="J31" i="1"/>
  <c r="K31" i="1" s="1"/>
  <c r="L31" i="1" s="1"/>
  <c r="M31" i="1" s="1"/>
  <c r="N31" i="1" s="1"/>
  <c r="O31" i="1" s="1"/>
  <c r="P31" i="1" s="1"/>
  <c r="Q31" i="1" s="1"/>
  <c r="R31" i="1" s="1"/>
  <c r="S31" i="1" s="1"/>
  <c r="G31" i="1"/>
  <c r="M60" i="1"/>
  <c r="N60" i="1" s="1"/>
  <c r="O60" i="1" s="1"/>
  <c r="P60" i="1" s="1"/>
  <c r="Q60" i="1" s="1"/>
  <c r="R60" i="1" s="1"/>
  <c r="S60" i="1" s="1"/>
  <c r="J14" i="1"/>
  <c r="K14" i="1" s="1"/>
  <c r="L14" i="1" s="1"/>
  <c r="M14" i="1" s="1"/>
  <c r="N14" i="1" s="1"/>
  <c r="O14" i="1" s="1"/>
  <c r="P14" i="1" s="1"/>
  <c r="Q14" i="1" s="1"/>
  <c r="R14" i="1" s="1"/>
  <c r="S14" i="1" s="1"/>
  <c r="J55" i="1"/>
  <c r="K55" i="1" s="1"/>
  <c r="L55" i="1" s="1"/>
  <c r="M55" i="1" s="1"/>
  <c r="N55" i="1" s="1"/>
  <c r="O55" i="1" s="1"/>
  <c r="P55" i="1" s="1"/>
  <c r="Q55" i="1" s="1"/>
  <c r="R55" i="1" s="1"/>
  <c r="S55" i="1" s="1"/>
  <c r="J61" i="1"/>
  <c r="K61" i="1" s="1"/>
  <c r="L61" i="1" s="1"/>
  <c r="M61" i="1" s="1"/>
  <c r="N61" i="1" s="1"/>
  <c r="O61" i="1" s="1"/>
  <c r="P61" i="1" s="1"/>
  <c r="Q61" i="1" s="1"/>
  <c r="R61" i="1" s="1"/>
  <c r="S61" i="1" s="1"/>
  <c r="G61" i="1"/>
  <c r="J63" i="1"/>
  <c r="K63" i="1" s="1"/>
  <c r="L63" i="1" s="1"/>
  <c r="M63" i="1" s="1"/>
  <c r="N63" i="1" s="1"/>
  <c r="O63" i="1" s="1"/>
  <c r="P63" i="1" s="1"/>
  <c r="Q63" i="1" s="1"/>
  <c r="R63" i="1" s="1"/>
  <c r="S63" i="1" s="1"/>
  <c r="J10" i="1"/>
  <c r="K10" i="1" s="1"/>
  <c r="L10" i="1" s="1"/>
  <c r="M10" i="1" s="1"/>
  <c r="N10" i="1" s="1"/>
  <c r="O10" i="1" s="1"/>
  <c r="P10" i="1" s="1"/>
  <c r="Q10" i="1" s="1"/>
  <c r="R10" i="1" s="1"/>
  <c r="S10" i="1" s="1"/>
  <c r="J23" i="1"/>
  <c r="K23" i="1" s="1"/>
  <c r="L23" i="1" s="1"/>
  <c r="M23" i="1" s="1"/>
  <c r="N23" i="1" s="1"/>
  <c r="O23" i="1" s="1"/>
  <c r="P23" i="1" s="1"/>
  <c r="Q23" i="1" s="1"/>
  <c r="R23" i="1" s="1"/>
  <c r="S23" i="1" s="1"/>
  <c r="G23" i="1"/>
  <c r="M28" i="1"/>
  <c r="N28" i="1" s="1"/>
  <c r="O28" i="1" s="1"/>
  <c r="P28" i="1" s="1"/>
  <c r="Q28" i="1" s="1"/>
  <c r="R28" i="1" s="1"/>
  <c r="S28" i="1" s="1"/>
  <c r="L73" i="1"/>
  <c r="M73" i="1" s="1"/>
  <c r="N73" i="1" s="1"/>
  <c r="O73" i="1" s="1"/>
  <c r="P73" i="1" s="1"/>
  <c r="Q73" i="1" s="1"/>
  <c r="R73" i="1" s="1"/>
  <c r="S73" i="1" s="1"/>
  <c r="M36" i="1"/>
  <c r="N36" i="1" s="1"/>
  <c r="O36" i="1" s="1"/>
  <c r="P36" i="1" s="1"/>
  <c r="Q36" i="1" s="1"/>
  <c r="R36" i="1" s="1"/>
  <c r="S36" i="1" s="1"/>
  <c r="J39" i="1"/>
  <c r="K39" i="1" s="1"/>
  <c r="L39" i="1" s="1"/>
  <c r="M39" i="1" s="1"/>
  <c r="N39" i="1" s="1"/>
  <c r="O39" i="1" s="1"/>
  <c r="P39" i="1" s="1"/>
  <c r="Q39" i="1" s="1"/>
  <c r="R39" i="1" s="1"/>
  <c r="S39" i="1" s="1"/>
  <c r="J17" i="1"/>
  <c r="K17" i="1" s="1"/>
  <c r="L17" i="1" s="1"/>
  <c r="M17" i="1" s="1"/>
  <c r="N17" i="1" s="1"/>
  <c r="O17" i="1" s="1"/>
  <c r="P17" i="1" s="1"/>
  <c r="Q17" i="1" s="1"/>
  <c r="R17" i="1" s="1"/>
  <c r="S17" i="1" s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J6" i="1"/>
  <c r="K6" i="1" s="1"/>
  <c r="L6" i="1" s="1"/>
  <c r="M6" i="1" s="1"/>
  <c r="N6" i="1" s="1"/>
  <c r="O6" i="1" s="1"/>
  <c r="P6" i="1" s="1"/>
  <c r="Q6" i="1" s="1"/>
  <c r="R6" i="1" s="1"/>
  <c r="S6" i="1" s="1"/>
  <c r="J18" i="1"/>
  <c r="K18" i="1" s="1"/>
  <c r="L18" i="1" s="1"/>
  <c r="M18" i="1" s="1"/>
  <c r="N18" i="1" s="1"/>
  <c r="O18" i="1" s="1"/>
  <c r="P18" i="1" s="1"/>
  <c r="Q18" i="1" s="1"/>
  <c r="R18" i="1" s="1"/>
  <c r="S18" i="1" s="1"/>
  <c r="J47" i="1"/>
  <c r="K47" i="1" s="1"/>
  <c r="L47" i="1" s="1"/>
  <c r="M47" i="1" s="1"/>
  <c r="N47" i="1" s="1"/>
  <c r="O47" i="1" s="1"/>
  <c r="P47" i="1" s="1"/>
  <c r="Q47" i="1" s="1"/>
  <c r="R47" i="1" s="1"/>
  <c r="S47" i="1" s="1"/>
  <c r="M52" i="1"/>
  <c r="N52" i="1" s="1"/>
  <c r="O52" i="1" s="1"/>
  <c r="P52" i="1" s="1"/>
  <c r="Q52" i="1" s="1"/>
  <c r="R52" i="1" s="1"/>
  <c r="S52" i="1" s="1"/>
  <c r="J5" i="1"/>
  <c r="K5" i="1" s="1"/>
  <c r="L5" i="1" s="1"/>
  <c r="M5" i="1" s="1"/>
  <c r="N5" i="1" s="1"/>
  <c r="O5" i="1" s="1"/>
  <c r="P5" i="1" s="1"/>
  <c r="Q5" i="1" s="1"/>
  <c r="R5" i="1" s="1"/>
  <c r="S5" i="1" s="1"/>
  <c r="G5" i="1"/>
  <c r="M44" i="1"/>
  <c r="N44" i="1" s="1"/>
  <c r="O44" i="1" s="1"/>
  <c r="P44" i="1" s="1"/>
  <c r="Q44" i="1" s="1"/>
  <c r="R44" i="1" s="1"/>
  <c r="S44" i="1" s="1"/>
  <c r="G44" i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G27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I16" i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J19" i="1"/>
  <c r="K19" i="1" s="1"/>
  <c r="L19" i="1" s="1"/>
  <c r="M19" i="1" s="1"/>
  <c r="N19" i="1" s="1"/>
  <c r="O19" i="1" s="1"/>
  <c r="P19" i="1" s="1"/>
  <c r="Q19" i="1" s="1"/>
  <c r="R19" i="1" s="1"/>
  <c r="S19" i="1" s="1"/>
  <c r="J27" i="1"/>
  <c r="K27" i="1" s="1"/>
  <c r="L27" i="1" s="1"/>
  <c r="M27" i="1" s="1"/>
  <c r="N27" i="1" s="1"/>
  <c r="O27" i="1" s="1"/>
  <c r="P27" i="1" s="1"/>
  <c r="Q27" i="1" s="1"/>
  <c r="R27" i="1" s="1"/>
  <c r="S27" i="1" s="1"/>
  <c r="I29" i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L41" i="1"/>
  <c r="M41" i="1" s="1"/>
  <c r="N41" i="1" s="1"/>
  <c r="O41" i="1" s="1"/>
  <c r="P41" i="1" s="1"/>
  <c r="Q41" i="1" s="1"/>
  <c r="R41" i="1" s="1"/>
  <c r="S41" i="1" s="1"/>
  <c r="J42" i="1"/>
  <c r="K42" i="1" s="1"/>
  <c r="L42" i="1" s="1"/>
  <c r="M42" i="1" s="1"/>
  <c r="N42" i="1" s="1"/>
  <c r="O42" i="1" s="1"/>
  <c r="P42" i="1" s="1"/>
  <c r="Q42" i="1" s="1"/>
  <c r="R42" i="1" s="1"/>
  <c r="S42" i="1" s="1"/>
  <c r="J43" i="1"/>
  <c r="K43" i="1" s="1"/>
  <c r="L43" i="1" s="1"/>
  <c r="M43" i="1" s="1"/>
  <c r="N43" i="1" s="1"/>
  <c r="O43" i="1" s="1"/>
  <c r="P43" i="1" s="1"/>
  <c r="Q43" i="1" s="1"/>
  <c r="R43" i="1" s="1"/>
  <c r="S43" i="1" s="1"/>
  <c r="I45" i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K57" i="1"/>
  <c r="L57" i="1" s="1"/>
  <c r="M57" i="1" s="1"/>
  <c r="N57" i="1" s="1"/>
  <c r="O57" i="1" s="1"/>
  <c r="P57" i="1" s="1"/>
  <c r="Q57" i="1" s="1"/>
  <c r="R57" i="1" s="1"/>
  <c r="S57" i="1" s="1"/>
  <c r="I58" i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O68" i="1"/>
  <c r="P68" i="1" s="1"/>
  <c r="Q68" i="1" s="1"/>
  <c r="R68" i="1" s="1"/>
  <c r="S68" i="1" s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I74" i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H76" i="1"/>
  <c r="G7" i="1"/>
  <c r="G20" i="1"/>
  <c r="I32" i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G49" i="1"/>
  <c r="G50" i="1"/>
  <c r="J59" i="1"/>
  <c r="K59" i="1" s="1"/>
  <c r="L59" i="1" s="1"/>
  <c r="M59" i="1" s="1"/>
  <c r="N59" i="1" s="1"/>
  <c r="O59" i="1" s="1"/>
  <c r="P59" i="1" s="1"/>
  <c r="Q59" i="1" s="1"/>
  <c r="R59" i="1" s="1"/>
  <c r="S59" i="1" s="1"/>
  <c r="K65" i="1"/>
  <c r="L65" i="1" s="1"/>
  <c r="M65" i="1" s="1"/>
  <c r="N65" i="1" s="1"/>
  <c r="O65" i="1" s="1"/>
  <c r="P65" i="1" s="1"/>
  <c r="Q65" i="1" s="1"/>
  <c r="R65" i="1" s="1"/>
  <c r="S65" i="1" s="1"/>
  <c r="G71" i="1"/>
  <c r="I2" i="1"/>
  <c r="G4" i="1"/>
  <c r="G12" i="1"/>
  <c r="G21" i="1"/>
  <c r="G35" i="1"/>
  <c r="G37" i="1"/>
  <c r="G53" i="1"/>
  <c r="G69" i="1"/>
  <c r="G9" i="1"/>
  <c r="J51" i="1"/>
  <c r="K51" i="1" s="1"/>
  <c r="L51" i="1" s="1"/>
  <c r="M51" i="1" s="1"/>
  <c r="N51" i="1" s="1"/>
  <c r="O51" i="1" s="1"/>
  <c r="P51" i="1" s="1"/>
  <c r="Q51" i="1" s="1"/>
  <c r="R51" i="1" s="1"/>
  <c r="S51" i="1" s="1"/>
  <c r="I24" i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G25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J54" i="1"/>
  <c r="K54" i="1" s="1"/>
  <c r="L54" i="1" s="1"/>
  <c r="M54" i="1" s="1"/>
  <c r="N54" i="1" s="1"/>
  <c r="O54" i="1" s="1"/>
  <c r="P54" i="1" s="1"/>
  <c r="Q54" i="1" s="1"/>
  <c r="R54" i="1" s="1"/>
  <c r="S54" i="1" s="1"/>
  <c r="I56" i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G66" i="1"/>
  <c r="J67" i="1"/>
  <c r="K67" i="1" s="1"/>
  <c r="L67" i="1" s="1"/>
  <c r="M67" i="1" s="1"/>
  <c r="N67" i="1" s="1"/>
  <c r="O67" i="1" s="1"/>
  <c r="P67" i="1" s="1"/>
  <c r="Q67" i="1" s="1"/>
  <c r="R67" i="1" s="1"/>
  <c r="S67" i="1" s="1"/>
  <c r="G75" i="1"/>
  <c r="G22" i="1"/>
  <c r="G30" i="1"/>
  <c r="G38" i="1"/>
  <c r="G46" i="1"/>
  <c r="G62" i="1"/>
  <c r="G70" i="1"/>
  <c r="G40" i="1" l="1"/>
  <c r="G48" i="1"/>
  <c r="G74" i="1"/>
  <c r="G19" i="1"/>
  <c r="G17" i="1"/>
  <c r="G28" i="1"/>
  <c r="G13" i="1"/>
  <c r="G47" i="1"/>
  <c r="G39" i="1"/>
  <c r="G18" i="1"/>
  <c r="G36" i="1"/>
  <c r="G10" i="1"/>
  <c r="G42" i="1"/>
  <c r="G73" i="1"/>
  <c r="G34" i="1"/>
  <c r="I76" i="1"/>
  <c r="J2" i="1"/>
  <c r="G6" i="1"/>
  <c r="G56" i="1"/>
  <c r="G67" i="1"/>
  <c r="G54" i="1"/>
  <c r="G41" i="1"/>
  <c r="G3" i="1"/>
  <c r="G55" i="1"/>
  <c r="G72" i="1"/>
  <c r="G57" i="1"/>
  <c r="G68" i="1"/>
  <c r="G45" i="1"/>
  <c r="G14" i="1"/>
  <c r="G29" i="1"/>
  <c r="G24" i="1"/>
  <c r="G64" i="1"/>
  <c r="G65" i="1"/>
  <c r="G51" i="1"/>
  <c r="G59" i="1"/>
  <c r="G32" i="1"/>
  <c r="G43" i="1"/>
  <c r="G52" i="1"/>
  <c r="G11" i="1"/>
  <c r="G16" i="1"/>
  <c r="G58" i="1"/>
  <c r="G63" i="1"/>
  <c r="G60" i="1"/>
  <c r="J76" i="1" l="1"/>
  <c r="K2" i="1"/>
  <c r="K76" i="1" l="1"/>
  <c r="L2" i="1"/>
  <c r="L76" i="1" l="1"/>
  <c r="M2" i="1"/>
  <c r="M76" i="1" l="1"/>
  <c r="N2" i="1"/>
  <c r="N76" i="1" l="1"/>
  <c r="O2" i="1"/>
  <c r="O76" i="1" l="1"/>
  <c r="P2" i="1"/>
  <c r="P76" i="1" l="1"/>
  <c r="Q2" i="1"/>
  <c r="Q76" i="1" l="1"/>
  <c r="R2" i="1"/>
  <c r="R76" i="1" l="1"/>
  <c r="S2" i="1"/>
  <c r="S76" i="1" l="1"/>
  <c r="G2" i="1"/>
  <c r="G76" i="1" s="1"/>
</calcChain>
</file>

<file path=xl/sharedStrings.xml><?xml version="1.0" encoding="utf-8"?>
<sst xmlns="http://schemas.openxmlformats.org/spreadsheetml/2006/main" count="378" uniqueCount="93">
  <si>
    <t>Company</t>
  </si>
  <si>
    <t>Cost Center Group</t>
  </si>
  <si>
    <t>Cost Center Sub Group</t>
  </si>
  <si>
    <t>Cost Center Code</t>
  </si>
  <si>
    <t>Accounting Year</t>
  </si>
  <si>
    <t>Opening Budget</t>
  </si>
  <si>
    <t>Board Approved Budget</t>
  </si>
  <si>
    <t>Athaang Jammu Udhampur Highway Pvt Limited</t>
  </si>
  <si>
    <t>Routine Maintenance Exp.</t>
  </si>
  <si>
    <t>Agency Cost- Contract</t>
  </si>
  <si>
    <t>2024-2025</t>
  </si>
  <si>
    <t>Revision in Minimum Wages-RM</t>
  </si>
  <si>
    <t>BBD and BI Test</t>
  </si>
  <si>
    <t>Repair of Public Utilities</t>
  </si>
  <si>
    <t>Repair Works Civil</t>
  </si>
  <si>
    <t>Signage and Signboards for Stores</t>
  </si>
  <si>
    <t>Retroreflection/NSV-(a) Raod Marking Repairing Cost</t>
  </si>
  <si>
    <t>Plantation Cost</t>
  </si>
  <si>
    <t>Videography Vigilence/ Traffc Surveys</t>
  </si>
  <si>
    <t>Toll &amp; Route Exp.</t>
  </si>
  <si>
    <t>Incident Management Manpower (BD)- Agency Cost</t>
  </si>
  <si>
    <t>Incident Management Manpower (BD) - Minimum Wages Revision</t>
  </si>
  <si>
    <t>Security Cost - Agency Cost</t>
  </si>
  <si>
    <t>Security Cost - Minimum Wages Revision</t>
  </si>
  <si>
    <t>Ambulance Exp.</t>
  </si>
  <si>
    <t>RPV Item Exp.</t>
  </si>
  <si>
    <t>Crane Items Exp.</t>
  </si>
  <si>
    <t>VTS</t>
  </si>
  <si>
    <t>Electrical</t>
  </si>
  <si>
    <t>Electricity Bill Highway ( Tunnel )</t>
  </si>
  <si>
    <t>Electricity AMC</t>
  </si>
  <si>
    <t>DG Fuel Cost</t>
  </si>
  <si>
    <t>Electrical Spares</t>
  </si>
  <si>
    <t>DG Spare Cost</t>
  </si>
  <si>
    <t>DG AMC</t>
  </si>
  <si>
    <t>Substation Maint. Charges</t>
  </si>
  <si>
    <t>E &amp; M Exp.</t>
  </si>
  <si>
    <t>Ventilation AMC</t>
  </si>
  <si>
    <t>Ventilation Spares</t>
  </si>
  <si>
    <t>Vehicle Running &amp; Maintenance Exp.</t>
  </si>
  <si>
    <t>Fuel Expenses - Agency</t>
  </si>
  <si>
    <t>Vehicle Hire Charges</t>
  </si>
  <si>
    <t>Operations Vehicle Fuel-Incident Management+Sky lift &amp; Tower Lights</t>
  </si>
  <si>
    <t>Vehicle Repair and Maintenance</t>
  </si>
  <si>
    <t>Vehicle Fitness/Road Tax/Pollutioin/Permit</t>
  </si>
  <si>
    <t>Vehicle Insurance</t>
  </si>
  <si>
    <t>Crane Hire 30 Ton</t>
  </si>
  <si>
    <t>Safety &amp; ESG Exp.</t>
  </si>
  <si>
    <t>Safety Items</t>
  </si>
  <si>
    <t>Road Safety and Other Programmes</t>
  </si>
  <si>
    <t>Staff PPE Kits</t>
  </si>
  <si>
    <t>Safety Audit Fees</t>
  </si>
  <si>
    <t>ESG Related Exp.</t>
  </si>
  <si>
    <t>ESG Training</t>
  </si>
  <si>
    <t>Other Exp.</t>
  </si>
  <si>
    <t>Internet Charges</t>
  </si>
  <si>
    <t>Misc. Expenses</t>
  </si>
  <si>
    <t>IT Spares</t>
  </si>
  <si>
    <t>Office Consumables</t>
  </si>
  <si>
    <t>Food &amp; Beverages</t>
  </si>
  <si>
    <t>Pooja Exp</t>
  </si>
  <si>
    <t>Postage and Courier Charges</t>
  </si>
  <si>
    <t>Printing and Stationary Expenses</t>
  </si>
  <si>
    <t>Mobile Bill Charges- Site Office and Corridor</t>
  </si>
  <si>
    <t>AMC for AC, RO &amp; Note Counting Machine including spares and walky talky renewal fee</t>
  </si>
  <si>
    <t>Office / HO GH Rent</t>
  </si>
  <si>
    <t>Advance to NHAI</t>
  </si>
  <si>
    <t>Hotel and Travelling Expenses</t>
  </si>
  <si>
    <t>Other Misc. Expenses</t>
  </si>
  <si>
    <t>Fire Extinguishers Refilling Charges</t>
  </si>
  <si>
    <t>Festival Gifts</t>
  </si>
  <si>
    <t>Insurance Expenses</t>
  </si>
  <si>
    <t>Professional/Legal/Audit Fees</t>
  </si>
  <si>
    <t>IE Fee</t>
  </si>
  <si>
    <t>Personal Exp.</t>
  </si>
  <si>
    <t>Staff Salary</t>
  </si>
  <si>
    <t>GPA-GMA Policy</t>
  </si>
  <si>
    <t>Training and Development</t>
  </si>
  <si>
    <t>Relocation Expenses</t>
  </si>
  <si>
    <t>Staff/Family Outing</t>
  </si>
  <si>
    <t>Staff Welfare</t>
  </si>
  <si>
    <t>Mobile Reimbursement</t>
  </si>
  <si>
    <t>Mobile Purchase for Staff</t>
  </si>
  <si>
    <t>HRMS</t>
  </si>
  <si>
    <t>Professional Fees - Payroll Process</t>
  </si>
  <si>
    <t>Contingency Exp.</t>
  </si>
  <si>
    <t>CSR</t>
  </si>
  <si>
    <t>Athaang Management Fees</t>
  </si>
  <si>
    <t>Finance Exp.</t>
  </si>
  <si>
    <t>Interest on Term Loan</t>
  </si>
  <si>
    <t>Trustee / LA / Other Lender Fees</t>
  </si>
  <si>
    <t>Credit Ratings Fees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</si>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</sst>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3" fontId="4" fillId="0" borderId="1" xfId="1" applyFont="1" applyBorder="1" applyAlignment="1">
      <alignment horizontal="left"/>
    </xf>
    <xf numFmtId="43" fontId="4" fillId="0" borderId="2" xfId="1" applyFont="1" applyBorder="1" applyAlignment="1">
      <alignment horizontal="left"/>
    </xf>
    <xf numFmtId="43" fontId="4" fillId="3" borderId="1" xfId="1" applyFont="1" applyFill="1" applyBorder="1" applyAlignment="1">
      <alignment horizontal="left"/>
    </xf>
    <xf numFmtId="17" fontId="4" fillId="3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43" fontId="3" fillId="0" borderId="1" xfId="1" applyFont="1" applyFill="1" applyBorder="1" applyAlignment="1">
      <alignment vertical="center" wrapText="1"/>
    </xf>
    <xf numFmtId="43" fontId="3" fillId="0" borderId="2" xfId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164" fontId="4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8103-89B8-4D76-A845-CADE17FF61A3}">
  <dimension ref="A1:S76"/>
  <sheetViews>
    <sheetView tabSelected="1" workbookViewId="0">
      <selection activeCell="B5" sqref="B5"/>
    </sheetView>
  </sheetViews>
  <sheetFormatPr defaultRowHeight="14.4" x14ac:dyDescent="0.3"/>
  <cols>
    <col min="1" max="1" width="40.44140625" bestFit="1" customWidth="1"/>
    <col min="2" max="2" width="31.109375" bestFit="1" customWidth="1"/>
    <col min="3" max="3" width="73.109375" bestFit="1" customWidth="1"/>
    <col min="4" max="4" width="45" bestFit="1" customWidth="1"/>
    <col min="5" max="5" width="15.6640625" bestFit="1" customWidth="1"/>
    <col min="6" max="6" width="15.5546875" bestFit="1" customWidth="1"/>
    <col min="7" max="7" width="22.44140625" bestFit="1" customWidth="1"/>
    <col min="8" max="19" width="12.5546875" bestFit="1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>
        <v>45383</v>
      </c>
      <c r="I1" s="6">
        <v>45413</v>
      </c>
      <c r="J1" s="6">
        <v>45444</v>
      </c>
      <c r="K1" s="6">
        <v>45474</v>
      </c>
      <c r="L1" s="6">
        <v>45505</v>
      </c>
      <c r="M1" s="6">
        <v>45536</v>
      </c>
      <c r="N1" s="6">
        <v>45566</v>
      </c>
      <c r="O1" s="6">
        <v>45597</v>
      </c>
      <c r="P1" s="6">
        <v>45627</v>
      </c>
      <c r="Q1" s="6">
        <v>45658</v>
      </c>
      <c r="R1" s="6">
        <v>45689</v>
      </c>
      <c r="S1" s="6">
        <v>45717</v>
      </c>
    </row>
    <row r="2" spans="1:19" ht="43.2" x14ac:dyDescent="0.3">
      <c r="A2" s="7" t="s">
        <v>7</v>
      </c>
      <c r="B2" s="7" t="s">
        <v>8</v>
      </c>
      <c r="C2" s="7" t="s">
        <v>9</v>
      </c>
      <c r="D2" s="8" t="s">
        <v>9</v>
      </c>
      <c r="E2" s="9" t="s">
        <v>10</v>
      </c>
      <c r="F2" s="10">
        <v>44704960.800000012</v>
      </c>
      <c r="G2" s="10">
        <f>SUM(H2:S2)</f>
        <v>44704960.800000012</v>
      </c>
      <c r="H2" s="11">
        <f>F2/12</f>
        <v>3725413.4000000008</v>
      </c>
      <c r="I2" s="10">
        <f>H2</f>
        <v>3725413.4000000008</v>
      </c>
      <c r="J2" s="10">
        <f>I2</f>
        <v>3725413.4000000008</v>
      </c>
      <c r="K2" s="10">
        <f>J2</f>
        <v>3725413.4000000008</v>
      </c>
      <c r="L2" s="10">
        <f t="shared" ref="L2:S2" si="0">K2</f>
        <v>3725413.4000000008</v>
      </c>
      <c r="M2" s="10">
        <f t="shared" si="0"/>
        <v>3725413.4000000008</v>
      </c>
      <c r="N2" s="10">
        <f t="shared" si="0"/>
        <v>3725413.4000000008</v>
      </c>
      <c r="O2" s="10">
        <f t="shared" si="0"/>
        <v>3725413.4000000008</v>
      </c>
      <c r="P2" s="10">
        <f t="shared" si="0"/>
        <v>3725413.4000000008</v>
      </c>
      <c r="Q2" s="10">
        <f t="shared" si="0"/>
        <v>3725413.4000000008</v>
      </c>
      <c r="R2" s="10">
        <f t="shared" si="0"/>
        <v>3725413.4000000008</v>
      </c>
      <c r="S2" s="10">
        <f t="shared" si="0"/>
        <v>3725413.4000000008</v>
      </c>
    </row>
    <row r="3" spans="1:19" ht="72" x14ac:dyDescent="0.3">
      <c r="A3" s="7" t="s">
        <v>7</v>
      </c>
      <c r="B3" s="7" t="s">
        <v>8</v>
      </c>
      <c r="C3" s="7" t="s">
        <v>11</v>
      </c>
      <c r="D3" s="8" t="s">
        <v>11</v>
      </c>
      <c r="E3" s="9" t="s">
        <v>10</v>
      </c>
      <c r="F3" s="10">
        <v>1350388.5071999999</v>
      </c>
      <c r="G3" s="10">
        <f t="shared" ref="G3:G69" si="1">SUM(H3:S3)</f>
        <v>1350388.5071999999</v>
      </c>
      <c r="H3" s="11">
        <f t="shared" ref="H3:H67" si="2">F3/12</f>
        <v>112532.37559999998</v>
      </c>
      <c r="I3" s="10">
        <f t="shared" ref="I3:S18" si="3">H3</f>
        <v>112532.37559999998</v>
      </c>
      <c r="J3" s="10">
        <f t="shared" si="3"/>
        <v>112532.37559999998</v>
      </c>
      <c r="K3" s="10">
        <f t="shared" si="3"/>
        <v>112532.37559999998</v>
      </c>
      <c r="L3" s="10">
        <f t="shared" si="3"/>
        <v>112532.37559999998</v>
      </c>
      <c r="M3" s="10">
        <f t="shared" si="3"/>
        <v>112532.37559999998</v>
      </c>
      <c r="N3" s="10">
        <f t="shared" si="3"/>
        <v>112532.37559999998</v>
      </c>
      <c r="O3" s="10">
        <f t="shared" si="3"/>
        <v>112532.37559999998</v>
      </c>
      <c r="P3" s="10">
        <f t="shared" si="3"/>
        <v>112532.37559999998</v>
      </c>
      <c r="Q3" s="10">
        <f t="shared" si="3"/>
        <v>112532.37559999998</v>
      </c>
      <c r="R3" s="10">
        <f t="shared" si="3"/>
        <v>112532.37559999998</v>
      </c>
      <c r="S3" s="10">
        <f t="shared" si="3"/>
        <v>112532.37559999998</v>
      </c>
    </row>
    <row r="4" spans="1:19" ht="28.8" x14ac:dyDescent="0.3">
      <c r="A4" s="7" t="s">
        <v>7</v>
      </c>
      <c r="B4" s="7" t="s">
        <v>8</v>
      </c>
      <c r="C4" s="7" t="s">
        <v>12</v>
      </c>
      <c r="D4" s="8" t="s">
        <v>12</v>
      </c>
      <c r="E4" s="9" t="s">
        <v>10</v>
      </c>
      <c r="F4" s="10">
        <v>944000</v>
      </c>
      <c r="G4" s="10">
        <f t="shared" si="1"/>
        <v>943999.99999999988</v>
      </c>
      <c r="H4" s="11">
        <f t="shared" si="2"/>
        <v>78666.666666666672</v>
      </c>
      <c r="I4" s="10">
        <f t="shared" si="3"/>
        <v>78666.666666666672</v>
      </c>
      <c r="J4" s="10">
        <f t="shared" si="3"/>
        <v>78666.666666666672</v>
      </c>
      <c r="K4" s="10">
        <f t="shared" si="3"/>
        <v>78666.666666666672</v>
      </c>
      <c r="L4" s="10">
        <f t="shared" si="3"/>
        <v>78666.666666666672</v>
      </c>
      <c r="M4" s="10">
        <f t="shared" si="3"/>
        <v>78666.666666666672</v>
      </c>
      <c r="N4" s="10">
        <f t="shared" si="3"/>
        <v>78666.666666666672</v>
      </c>
      <c r="O4" s="10">
        <f t="shared" si="3"/>
        <v>78666.666666666672</v>
      </c>
      <c r="P4" s="10">
        <f t="shared" si="3"/>
        <v>78666.666666666672</v>
      </c>
      <c r="Q4" s="10">
        <f t="shared" si="3"/>
        <v>78666.666666666672</v>
      </c>
      <c r="R4" s="10">
        <f t="shared" si="3"/>
        <v>78666.666666666672</v>
      </c>
      <c r="S4" s="10">
        <f t="shared" si="3"/>
        <v>78666.666666666672</v>
      </c>
    </row>
    <row r="5" spans="1:19" ht="43.2" x14ac:dyDescent="0.3">
      <c r="A5" s="7" t="s">
        <v>7</v>
      </c>
      <c r="B5" s="7" t="s">
        <v>8</v>
      </c>
      <c r="C5" s="7" t="s">
        <v>13</v>
      </c>
      <c r="D5" s="8" t="s">
        <v>13</v>
      </c>
      <c r="E5" s="9" t="s">
        <v>10</v>
      </c>
      <c r="F5" s="10">
        <v>295000</v>
      </c>
      <c r="G5" s="10">
        <f t="shared" si="1"/>
        <v>295000</v>
      </c>
      <c r="H5" s="11">
        <f t="shared" si="2"/>
        <v>24583.333333333332</v>
      </c>
      <c r="I5" s="10">
        <f t="shared" si="3"/>
        <v>24583.333333333332</v>
      </c>
      <c r="J5" s="10">
        <f t="shared" si="3"/>
        <v>24583.333333333332</v>
      </c>
      <c r="K5" s="10">
        <f t="shared" si="3"/>
        <v>24583.333333333332</v>
      </c>
      <c r="L5" s="10">
        <f t="shared" si="3"/>
        <v>24583.333333333332</v>
      </c>
      <c r="M5" s="10">
        <f t="shared" si="3"/>
        <v>24583.333333333332</v>
      </c>
      <c r="N5" s="10">
        <f t="shared" si="3"/>
        <v>24583.333333333332</v>
      </c>
      <c r="O5" s="10">
        <f t="shared" si="3"/>
        <v>24583.333333333332</v>
      </c>
      <c r="P5" s="10">
        <f t="shared" si="3"/>
        <v>24583.333333333332</v>
      </c>
      <c r="Q5" s="10">
        <f t="shared" si="3"/>
        <v>24583.333333333332</v>
      </c>
      <c r="R5" s="10">
        <f t="shared" si="3"/>
        <v>24583.333333333332</v>
      </c>
      <c r="S5" s="10">
        <f t="shared" si="3"/>
        <v>24583.333333333332</v>
      </c>
    </row>
    <row r="6" spans="1:19" ht="43.2" x14ac:dyDescent="0.3">
      <c r="A6" s="7" t="s">
        <v>7</v>
      </c>
      <c r="B6" s="7" t="s">
        <v>8</v>
      </c>
      <c r="C6" s="7" t="s">
        <v>14</v>
      </c>
      <c r="D6" s="8" t="s">
        <v>14</v>
      </c>
      <c r="E6" s="9" t="s">
        <v>10</v>
      </c>
      <c r="F6" s="10">
        <v>5000309</v>
      </c>
      <c r="G6" s="10">
        <f t="shared" si="1"/>
        <v>5000309</v>
      </c>
      <c r="H6" s="11">
        <f t="shared" si="2"/>
        <v>416692.41666666669</v>
      </c>
      <c r="I6" s="10">
        <f t="shared" si="3"/>
        <v>416692.41666666669</v>
      </c>
      <c r="J6" s="10">
        <f t="shared" si="3"/>
        <v>416692.41666666669</v>
      </c>
      <c r="K6" s="10">
        <f t="shared" si="3"/>
        <v>416692.41666666669</v>
      </c>
      <c r="L6" s="10">
        <f t="shared" si="3"/>
        <v>416692.41666666669</v>
      </c>
      <c r="M6" s="10">
        <f t="shared" si="3"/>
        <v>416692.41666666669</v>
      </c>
      <c r="N6" s="10">
        <f t="shared" si="3"/>
        <v>416692.41666666669</v>
      </c>
      <c r="O6" s="10">
        <f t="shared" si="3"/>
        <v>416692.41666666669</v>
      </c>
      <c r="P6" s="10">
        <f t="shared" si="3"/>
        <v>416692.41666666669</v>
      </c>
      <c r="Q6" s="10">
        <f t="shared" si="3"/>
        <v>416692.41666666669</v>
      </c>
      <c r="R6" s="10">
        <f t="shared" si="3"/>
        <v>416692.41666666669</v>
      </c>
      <c r="S6" s="10">
        <f t="shared" si="3"/>
        <v>416692.41666666669</v>
      </c>
    </row>
    <row r="7" spans="1:19" ht="72" x14ac:dyDescent="0.3">
      <c r="A7" s="7" t="s">
        <v>7</v>
      </c>
      <c r="B7" s="7" t="s">
        <v>8</v>
      </c>
      <c r="C7" s="7" t="s">
        <v>15</v>
      </c>
      <c r="D7" s="8" t="s">
        <v>15</v>
      </c>
      <c r="E7" s="12" t="s">
        <v>10</v>
      </c>
      <c r="F7" s="10">
        <v>1711000</v>
      </c>
      <c r="G7" s="11">
        <f t="shared" si="1"/>
        <v>1710999.9999999998</v>
      </c>
      <c r="H7" s="11">
        <f t="shared" si="2"/>
        <v>142583.33333333334</v>
      </c>
      <c r="I7" s="10">
        <f t="shared" si="3"/>
        <v>142583.33333333334</v>
      </c>
      <c r="J7" s="10">
        <f t="shared" si="3"/>
        <v>142583.33333333334</v>
      </c>
      <c r="K7" s="10">
        <f t="shared" si="3"/>
        <v>142583.33333333334</v>
      </c>
      <c r="L7" s="10">
        <f t="shared" si="3"/>
        <v>142583.33333333334</v>
      </c>
      <c r="M7" s="10">
        <f t="shared" si="3"/>
        <v>142583.33333333334</v>
      </c>
      <c r="N7" s="10">
        <f t="shared" si="3"/>
        <v>142583.33333333334</v>
      </c>
      <c r="O7" s="10">
        <f t="shared" si="3"/>
        <v>142583.33333333334</v>
      </c>
      <c r="P7" s="10">
        <f t="shared" si="3"/>
        <v>142583.33333333334</v>
      </c>
      <c r="Q7" s="10">
        <f t="shared" si="3"/>
        <v>142583.33333333334</v>
      </c>
      <c r="R7" s="10">
        <f t="shared" si="3"/>
        <v>142583.33333333334</v>
      </c>
      <c r="S7" s="10">
        <f t="shared" si="3"/>
        <v>142583.33333333334</v>
      </c>
    </row>
    <row r="8" spans="1:19" x14ac:dyDescent="0.3">
      <c r="A8" s="7" t="s">
        <v>7</v>
      </c>
      <c r="B8" s="7" t="s">
        <v>8</v>
      </c>
      <c r="C8" s="13" t="s">
        <v>16</v>
      </c>
      <c r="D8" s="13" t="s">
        <v>16</v>
      </c>
      <c r="E8" s="9" t="s">
        <v>10</v>
      </c>
      <c r="F8" s="10">
        <v>7561641.7799999993</v>
      </c>
      <c r="G8" s="10">
        <f t="shared" si="1"/>
        <v>7561641.7799999975</v>
      </c>
      <c r="H8" s="11">
        <f t="shared" si="2"/>
        <v>630136.81499999994</v>
      </c>
      <c r="I8" s="10">
        <f t="shared" si="3"/>
        <v>630136.81499999994</v>
      </c>
      <c r="J8" s="10">
        <f t="shared" si="3"/>
        <v>630136.81499999994</v>
      </c>
      <c r="K8" s="10">
        <f t="shared" si="3"/>
        <v>630136.81499999994</v>
      </c>
      <c r="L8" s="10">
        <f t="shared" si="3"/>
        <v>630136.81499999994</v>
      </c>
      <c r="M8" s="10">
        <f t="shared" si="3"/>
        <v>630136.81499999994</v>
      </c>
      <c r="N8" s="10">
        <f t="shared" si="3"/>
        <v>630136.81499999994</v>
      </c>
      <c r="O8" s="10">
        <f t="shared" si="3"/>
        <v>630136.81499999994</v>
      </c>
      <c r="P8" s="10">
        <f t="shared" si="3"/>
        <v>630136.81499999994</v>
      </c>
      <c r="Q8" s="10">
        <f t="shared" si="3"/>
        <v>630136.81499999994</v>
      </c>
      <c r="R8" s="10">
        <f t="shared" si="3"/>
        <v>630136.81499999994</v>
      </c>
      <c r="S8" s="10">
        <f t="shared" si="3"/>
        <v>630136.81499999994</v>
      </c>
    </row>
    <row r="9" spans="1:19" ht="43.2" x14ac:dyDescent="0.3">
      <c r="A9" s="7" t="s">
        <v>7</v>
      </c>
      <c r="B9" s="7" t="s">
        <v>8</v>
      </c>
      <c r="C9" s="7" t="s">
        <v>17</v>
      </c>
      <c r="D9" s="8" t="s">
        <v>17</v>
      </c>
      <c r="E9" s="9" t="s">
        <v>10</v>
      </c>
      <c r="F9" s="10">
        <v>500000</v>
      </c>
      <c r="G9" s="10">
        <f t="shared" si="1"/>
        <v>500000.00000000006</v>
      </c>
      <c r="H9" s="11">
        <f t="shared" si="2"/>
        <v>41666.666666666664</v>
      </c>
      <c r="I9" s="10">
        <f t="shared" si="3"/>
        <v>41666.666666666664</v>
      </c>
      <c r="J9" s="10">
        <f t="shared" si="3"/>
        <v>41666.666666666664</v>
      </c>
      <c r="K9" s="10">
        <f t="shared" si="3"/>
        <v>41666.666666666664</v>
      </c>
      <c r="L9" s="10">
        <f t="shared" si="3"/>
        <v>41666.666666666664</v>
      </c>
      <c r="M9" s="10">
        <f t="shared" si="3"/>
        <v>41666.666666666664</v>
      </c>
      <c r="N9" s="10">
        <f t="shared" si="3"/>
        <v>41666.666666666664</v>
      </c>
      <c r="O9" s="10">
        <f t="shared" si="3"/>
        <v>41666.666666666664</v>
      </c>
      <c r="P9" s="10">
        <f t="shared" si="3"/>
        <v>41666.666666666664</v>
      </c>
      <c r="Q9" s="10">
        <f t="shared" si="3"/>
        <v>41666.666666666664</v>
      </c>
      <c r="R9" s="10">
        <f t="shared" si="3"/>
        <v>41666.666666666664</v>
      </c>
      <c r="S9" s="10">
        <f t="shared" si="3"/>
        <v>41666.666666666664</v>
      </c>
    </row>
    <row r="10" spans="1:19" ht="86.4" x14ac:dyDescent="0.3">
      <c r="A10" s="7" t="s">
        <v>7</v>
      </c>
      <c r="B10" s="7" t="s">
        <v>8</v>
      </c>
      <c r="C10" s="7" t="s">
        <v>18</v>
      </c>
      <c r="D10" s="8" t="s">
        <v>18</v>
      </c>
      <c r="E10" s="9" t="s">
        <v>10</v>
      </c>
      <c r="F10" s="10">
        <v>59000</v>
      </c>
      <c r="G10" s="10">
        <f t="shared" si="1"/>
        <v>58999.999999999993</v>
      </c>
      <c r="H10" s="11">
        <f t="shared" si="2"/>
        <v>4916.666666666667</v>
      </c>
      <c r="I10" s="10">
        <f t="shared" si="3"/>
        <v>4916.666666666667</v>
      </c>
      <c r="J10" s="10">
        <f t="shared" si="3"/>
        <v>4916.666666666667</v>
      </c>
      <c r="K10" s="10">
        <f t="shared" si="3"/>
        <v>4916.666666666667</v>
      </c>
      <c r="L10" s="10">
        <f t="shared" si="3"/>
        <v>4916.666666666667</v>
      </c>
      <c r="M10" s="10">
        <f t="shared" si="3"/>
        <v>4916.666666666667</v>
      </c>
      <c r="N10" s="10">
        <f t="shared" si="3"/>
        <v>4916.666666666667</v>
      </c>
      <c r="O10" s="10">
        <f t="shared" si="3"/>
        <v>4916.666666666667</v>
      </c>
      <c r="P10" s="10">
        <f t="shared" si="3"/>
        <v>4916.666666666667</v>
      </c>
      <c r="Q10" s="10">
        <f t="shared" si="3"/>
        <v>4916.666666666667</v>
      </c>
      <c r="R10" s="10">
        <f t="shared" si="3"/>
        <v>4916.666666666667</v>
      </c>
      <c r="S10" s="10">
        <f t="shared" si="3"/>
        <v>4916.666666666667</v>
      </c>
    </row>
    <row r="11" spans="1:19" ht="100.8" x14ac:dyDescent="0.3">
      <c r="A11" s="7" t="s">
        <v>7</v>
      </c>
      <c r="B11" s="7" t="s">
        <v>19</v>
      </c>
      <c r="C11" s="7" t="s">
        <v>20</v>
      </c>
      <c r="D11" s="8" t="s">
        <v>20</v>
      </c>
      <c r="E11" s="9" t="s">
        <v>10</v>
      </c>
      <c r="F11" s="10">
        <v>37927363.176000006</v>
      </c>
      <c r="G11" s="10">
        <f t="shared" si="1"/>
        <v>37927363.176000006</v>
      </c>
      <c r="H11" s="11">
        <f t="shared" si="2"/>
        <v>3160613.5980000007</v>
      </c>
      <c r="I11" s="10">
        <f t="shared" si="3"/>
        <v>3160613.5980000007</v>
      </c>
      <c r="J11" s="10">
        <f t="shared" si="3"/>
        <v>3160613.5980000007</v>
      </c>
      <c r="K11" s="10">
        <f t="shared" si="3"/>
        <v>3160613.5980000007</v>
      </c>
      <c r="L11" s="10">
        <f t="shared" si="3"/>
        <v>3160613.5980000007</v>
      </c>
      <c r="M11" s="10">
        <f t="shared" si="3"/>
        <v>3160613.5980000007</v>
      </c>
      <c r="N11" s="10">
        <f t="shared" si="3"/>
        <v>3160613.5980000007</v>
      </c>
      <c r="O11" s="10">
        <f t="shared" si="3"/>
        <v>3160613.5980000007</v>
      </c>
      <c r="P11" s="10">
        <f t="shared" si="3"/>
        <v>3160613.5980000007</v>
      </c>
      <c r="Q11" s="10">
        <f t="shared" si="3"/>
        <v>3160613.5980000007</v>
      </c>
      <c r="R11" s="10">
        <f t="shared" si="3"/>
        <v>3160613.5980000007</v>
      </c>
      <c r="S11" s="10">
        <f t="shared" si="3"/>
        <v>3160613.5980000007</v>
      </c>
    </row>
    <row r="12" spans="1:19" ht="115.2" x14ac:dyDescent="0.3">
      <c r="A12" s="7" t="s">
        <v>7</v>
      </c>
      <c r="B12" s="7" t="s">
        <v>19</v>
      </c>
      <c r="C12" s="7" t="s">
        <v>21</v>
      </c>
      <c r="D12" s="8" t="s">
        <v>21</v>
      </c>
      <c r="E12" s="9" t="s">
        <v>10</v>
      </c>
      <c r="F12" s="10">
        <v>758901.26351999992</v>
      </c>
      <c r="G12" s="10">
        <f t="shared" si="1"/>
        <v>758901.26352000004</v>
      </c>
      <c r="H12" s="11">
        <f t="shared" si="2"/>
        <v>63241.771959999991</v>
      </c>
      <c r="I12" s="10">
        <f t="shared" si="3"/>
        <v>63241.771959999991</v>
      </c>
      <c r="J12" s="10">
        <f t="shared" si="3"/>
        <v>63241.771959999991</v>
      </c>
      <c r="K12" s="10">
        <f t="shared" si="3"/>
        <v>63241.771959999991</v>
      </c>
      <c r="L12" s="10">
        <f t="shared" si="3"/>
        <v>63241.771959999991</v>
      </c>
      <c r="M12" s="10">
        <f t="shared" si="3"/>
        <v>63241.771959999991</v>
      </c>
      <c r="N12" s="10">
        <f t="shared" si="3"/>
        <v>63241.771959999991</v>
      </c>
      <c r="O12" s="10">
        <f t="shared" si="3"/>
        <v>63241.771959999991</v>
      </c>
      <c r="P12" s="10">
        <f t="shared" si="3"/>
        <v>63241.771959999991</v>
      </c>
      <c r="Q12" s="10">
        <f t="shared" si="3"/>
        <v>63241.771959999991</v>
      </c>
      <c r="R12" s="10">
        <f t="shared" si="3"/>
        <v>63241.771959999991</v>
      </c>
      <c r="S12" s="10">
        <f t="shared" si="3"/>
        <v>63241.771959999991</v>
      </c>
    </row>
    <row r="13" spans="1:19" ht="57.6" x14ac:dyDescent="0.3">
      <c r="A13" s="7" t="s">
        <v>7</v>
      </c>
      <c r="B13" s="7" t="s">
        <v>19</v>
      </c>
      <c r="C13" s="7" t="s">
        <v>22</v>
      </c>
      <c r="D13" s="8" t="s">
        <v>22</v>
      </c>
      <c r="E13" s="9" t="s">
        <v>10</v>
      </c>
      <c r="F13" s="10">
        <v>10514231.662615679</v>
      </c>
      <c r="G13" s="10">
        <f t="shared" si="1"/>
        <v>10514231.662615679</v>
      </c>
      <c r="H13" s="11">
        <f t="shared" si="2"/>
        <v>876185.97188463993</v>
      </c>
      <c r="I13" s="10">
        <f t="shared" si="3"/>
        <v>876185.97188463993</v>
      </c>
      <c r="J13" s="10">
        <f t="shared" si="3"/>
        <v>876185.97188463993</v>
      </c>
      <c r="K13" s="10">
        <f t="shared" si="3"/>
        <v>876185.97188463993</v>
      </c>
      <c r="L13" s="10">
        <f t="shared" si="3"/>
        <v>876185.97188463993</v>
      </c>
      <c r="M13" s="10">
        <f t="shared" si="3"/>
        <v>876185.97188463993</v>
      </c>
      <c r="N13" s="10">
        <f t="shared" si="3"/>
        <v>876185.97188463993</v>
      </c>
      <c r="O13" s="10">
        <f t="shared" si="3"/>
        <v>876185.97188463993</v>
      </c>
      <c r="P13" s="10">
        <f t="shared" si="3"/>
        <v>876185.97188463993</v>
      </c>
      <c r="Q13" s="10">
        <f t="shared" si="3"/>
        <v>876185.97188463993</v>
      </c>
      <c r="R13" s="10">
        <f t="shared" si="3"/>
        <v>876185.97188463993</v>
      </c>
      <c r="S13" s="10">
        <f t="shared" si="3"/>
        <v>876185.97188463993</v>
      </c>
    </row>
    <row r="14" spans="1:19" ht="72" x14ac:dyDescent="0.3">
      <c r="A14" s="7" t="s">
        <v>7</v>
      </c>
      <c r="B14" s="7" t="s">
        <v>19</v>
      </c>
      <c r="C14" s="7" t="s">
        <v>23</v>
      </c>
      <c r="D14" s="8" t="s">
        <v>23</v>
      </c>
      <c r="E14" s="9" t="s">
        <v>10</v>
      </c>
      <c r="F14" s="10">
        <v>183999.05409577439</v>
      </c>
      <c r="G14" s="10">
        <f t="shared" si="1"/>
        <v>183999.05409577442</v>
      </c>
      <c r="H14" s="11">
        <f t="shared" si="2"/>
        <v>15333.254507981199</v>
      </c>
      <c r="I14" s="10">
        <f t="shared" si="3"/>
        <v>15333.254507981199</v>
      </c>
      <c r="J14" s="10">
        <f t="shared" si="3"/>
        <v>15333.254507981199</v>
      </c>
      <c r="K14" s="10">
        <f t="shared" si="3"/>
        <v>15333.254507981199</v>
      </c>
      <c r="L14" s="10">
        <f t="shared" si="3"/>
        <v>15333.254507981199</v>
      </c>
      <c r="M14" s="10">
        <f t="shared" si="3"/>
        <v>15333.254507981199</v>
      </c>
      <c r="N14" s="10">
        <f t="shared" si="3"/>
        <v>15333.254507981199</v>
      </c>
      <c r="O14" s="10">
        <f t="shared" si="3"/>
        <v>15333.254507981199</v>
      </c>
      <c r="P14" s="10">
        <f t="shared" si="3"/>
        <v>15333.254507981199</v>
      </c>
      <c r="Q14" s="10">
        <f t="shared" si="3"/>
        <v>15333.254507981199</v>
      </c>
      <c r="R14" s="10">
        <f t="shared" si="3"/>
        <v>15333.254507981199</v>
      </c>
      <c r="S14" s="10">
        <f t="shared" si="3"/>
        <v>15333.254507981199</v>
      </c>
    </row>
    <row r="15" spans="1:19" ht="43.2" x14ac:dyDescent="0.3">
      <c r="A15" s="7" t="s">
        <v>7</v>
      </c>
      <c r="B15" s="7" t="s">
        <v>19</v>
      </c>
      <c r="C15" s="7" t="s">
        <v>24</v>
      </c>
      <c r="D15" s="8" t="s">
        <v>24</v>
      </c>
      <c r="E15" s="9" t="s">
        <v>10</v>
      </c>
      <c r="F15" s="10">
        <v>141600</v>
      </c>
      <c r="G15" s="10">
        <f t="shared" si="1"/>
        <v>141600</v>
      </c>
      <c r="H15" s="11">
        <f t="shared" si="2"/>
        <v>11800</v>
      </c>
      <c r="I15" s="10">
        <f t="shared" si="3"/>
        <v>11800</v>
      </c>
      <c r="J15" s="10">
        <f t="shared" si="3"/>
        <v>11800</v>
      </c>
      <c r="K15" s="10">
        <f t="shared" si="3"/>
        <v>11800</v>
      </c>
      <c r="L15" s="10">
        <f t="shared" si="3"/>
        <v>11800</v>
      </c>
      <c r="M15" s="10">
        <f t="shared" si="3"/>
        <v>11800</v>
      </c>
      <c r="N15" s="10">
        <f t="shared" si="3"/>
        <v>11800</v>
      </c>
      <c r="O15" s="10">
        <f t="shared" si="3"/>
        <v>11800</v>
      </c>
      <c r="P15" s="10">
        <f t="shared" si="3"/>
        <v>11800</v>
      </c>
      <c r="Q15" s="10">
        <f t="shared" si="3"/>
        <v>11800</v>
      </c>
      <c r="R15" s="10">
        <f t="shared" si="3"/>
        <v>11800</v>
      </c>
      <c r="S15" s="10">
        <f t="shared" si="3"/>
        <v>11800</v>
      </c>
    </row>
    <row r="16" spans="1:19" ht="28.8" x14ac:dyDescent="0.3">
      <c r="A16" s="7" t="s">
        <v>7</v>
      </c>
      <c r="B16" s="7" t="s">
        <v>19</v>
      </c>
      <c r="C16" s="7" t="s">
        <v>25</v>
      </c>
      <c r="D16" s="8" t="s">
        <v>25</v>
      </c>
      <c r="E16" s="9" t="s">
        <v>10</v>
      </c>
      <c r="F16" s="10">
        <v>9440</v>
      </c>
      <c r="G16" s="10">
        <f t="shared" si="1"/>
        <v>9440</v>
      </c>
      <c r="H16" s="11">
        <f t="shared" si="2"/>
        <v>786.66666666666663</v>
      </c>
      <c r="I16" s="10">
        <f t="shared" si="3"/>
        <v>786.66666666666663</v>
      </c>
      <c r="J16" s="10">
        <f t="shared" si="3"/>
        <v>786.66666666666663</v>
      </c>
      <c r="K16" s="10">
        <f t="shared" si="3"/>
        <v>786.66666666666663</v>
      </c>
      <c r="L16" s="10">
        <f t="shared" si="3"/>
        <v>786.66666666666663</v>
      </c>
      <c r="M16" s="10">
        <f t="shared" si="3"/>
        <v>786.66666666666663</v>
      </c>
      <c r="N16" s="10">
        <f t="shared" si="3"/>
        <v>786.66666666666663</v>
      </c>
      <c r="O16" s="10">
        <f t="shared" si="3"/>
        <v>786.66666666666663</v>
      </c>
      <c r="P16" s="10">
        <f t="shared" si="3"/>
        <v>786.66666666666663</v>
      </c>
      <c r="Q16" s="10">
        <f t="shared" si="3"/>
        <v>786.66666666666663</v>
      </c>
      <c r="R16" s="10">
        <f t="shared" si="3"/>
        <v>786.66666666666663</v>
      </c>
      <c r="S16" s="10">
        <f t="shared" si="3"/>
        <v>786.66666666666663</v>
      </c>
    </row>
    <row r="17" spans="1:19" ht="43.2" x14ac:dyDescent="0.3">
      <c r="A17" s="7" t="s">
        <v>7</v>
      </c>
      <c r="B17" s="7" t="s">
        <v>19</v>
      </c>
      <c r="C17" s="7" t="s">
        <v>26</v>
      </c>
      <c r="D17" s="8" t="s">
        <v>26</v>
      </c>
      <c r="E17" s="9" t="s">
        <v>10</v>
      </c>
      <c r="F17" s="10">
        <v>64900</v>
      </c>
      <c r="G17" s="10">
        <f t="shared" si="1"/>
        <v>64900.000000000007</v>
      </c>
      <c r="H17" s="11">
        <f t="shared" si="2"/>
        <v>5408.333333333333</v>
      </c>
      <c r="I17" s="10">
        <f t="shared" si="3"/>
        <v>5408.333333333333</v>
      </c>
      <c r="J17" s="10">
        <f t="shared" si="3"/>
        <v>5408.333333333333</v>
      </c>
      <c r="K17" s="10">
        <f t="shared" si="3"/>
        <v>5408.333333333333</v>
      </c>
      <c r="L17" s="10">
        <f t="shared" si="3"/>
        <v>5408.333333333333</v>
      </c>
      <c r="M17" s="10">
        <f t="shared" si="3"/>
        <v>5408.333333333333</v>
      </c>
      <c r="N17" s="10">
        <f t="shared" si="3"/>
        <v>5408.333333333333</v>
      </c>
      <c r="O17" s="10">
        <f t="shared" si="3"/>
        <v>5408.333333333333</v>
      </c>
      <c r="P17" s="10">
        <f t="shared" si="3"/>
        <v>5408.333333333333</v>
      </c>
      <c r="Q17" s="10">
        <f t="shared" si="3"/>
        <v>5408.333333333333</v>
      </c>
      <c r="R17" s="10">
        <f t="shared" si="3"/>
        <v>5408.333333333333</v>
      </c>
      <c r="S17" s="10">
        <f t="shared" si="3"/>
        <v>5408.333333333333</v>
      </c>
    </row>
    <row r="18" spans="1:19" x14ac:dyDescent="0.3">
      <c r="A18" s="7" t="s">
        <v>7</v>
      </c>
      <c r="B18" s="7" t="s">
        <v>19</v>
      </c>
      <c r="C18" s="7" t="s">
        <v>27</v>
      </c>
      <c r="D18" s="8" t="s">
        <v>27</v>
      </c>
      <c r="E18" s="9" t="s">
        <v>10</v>
      </c>
      <c r="F18" s="10">
        <v>47200</v>
      </c>
      <c r="G18" s="10">
        <f t="shared" si="1"/>
        <v>47200.000000000007</v>
      </c>
      <c r="H18" s="11">
        <f t="shared" si="2"/>
        <v>3933.3333333333335</v>
      </c>
      <c r="I18" s="10">
        <f t="shared" si="3"/>
        <v>3933.3333333333335</v>
      </c>
      <c r="J18" s="10">
        <f t="shared" si="3"/>
        <v>3933.3333333333335</v>
      </c>
      <c r="K18" s="10">
        <f t="shared" si="3"/>
        <v>3933.3333333333335</v>
      </c>
      <c r="L18" s="10">
        <f t="shared" si="3"/>
        <v>3933.3333333333335</v>
      </c>
      <c r="M18" s="10">
        <f t="shared" si="3"/>
        <v>3933.3333333333335</v>
      </c>
      <c r="N18" s="10">
        <f t="shared" si="3"/>
        <v>3933.3333333333335</v>
      </c>
      <c r="O18" s="10">
        <f t="shared" si="3"/>
        <v>3933.3333333333335</v>
      </c>
      <c r="P18" s="10">
        <f t="shared" si="3"/>
        <v>3933.3333333333335</v>
      </c>
      <c r="Q18" s="10">
        <f t="shared" si="3"/>
        <v>3933.3333333333335</v>
      </c>
      <c r="R18" s="10">
        <f t="shared" si="3"/>
        <v>3933.3333333333335</v>
      </c>
      <c r="S18" s="10">
        <f t="shared" si="3"/>
        <v>3933.3333333333335</v>
      </c>
    </row>
    <row r="19" spans="1:19" x14ac:dyDescent="0.3">
      <c r="A19" s="7" t="s">
        <v>7</v>
      </c>
      <c r="B19" s="7" t="s">
        <v>28</v>
      </c>
      <c r="C19" s="13" t="s">
        <v>29</v>
      </c>
      <c r="D19" s="13" t="s">
        <v>29</v>
      </c>
      <c r="E19" s="9" t="s">
        <v>10</v>
      </c>
      <c r="F19" s="10">
        <v>15537704</v>
      </c>
      <c r="G19" s="10">
        <f t="shared" si="1"/>
        <v>15537703.999999998</v>
      </c>
      <c r="H19" s="11">
        <f t="shared" si="2"/>
        <v>1294808.6666666667</v>
      </c>
      <c r="I19" s="10">
        <f t="shared" ref="I19:S34" si="4">H19</f>
        <v>1294808.6666666667</v>
      </c>
      <c r="J19" s="10">
        <f t="shared" si="4"/>
        <v>1294808.6666666667</v>
      </c>
      <c r="K19" s="10">
        <f t="shared" si="4"/>
        <v>1294808.6666666667</v>
      </c>
      <c r="L19" s="10">
        <f t="shared" si="4"/>
        <v>1294808.6666666667</v>
      </c>
      <c r="M19" s="10">
        <f t="shared" si="4"/>
        <v>1294808.6666666667</v>
      </c>
      <c r="N19" s="10">
        <f t="shared" si="4"/>
        <v>1294808.6666666667</v>
      </c>
      <c r="O19" s="10">
        <f t="shared" si="4"/>
        <v>1294808.6666666667</v>
      </c>
      <c r="P19" s="10">
        <f t="shared" si="4"/>
        <v>1294808.6666666667</v>
      </c>
      <c r="Q19" s="10">
        <f t="shared" si="4"/>
        <v>1294808.6666666667</v>
      </c>
      <c r="R19" s="10">
        <f t="shared" si="4"/>
        <v>1294808.6666666667</v>
      </c>
      <c r="S19" s="10">
        <f t="shared" si="4"/>
        <v>1294808.6666666667</v>
      </c>
    </row>
    <row r="20" spans="1:19" ht="43.2" x14ac:dyDescent="0.3">
      <c r="A20" s="7" t="s">
        <v>7</v>
      </c>
      <c r="B20" s="7" t="s">
        <v>28</v>
      </c>
      <c r="C20" s="14" t="s">
        <v>30</v>
      </c>
      <c r="D20" s="8" t="s">
        <v>30</v>
      </c>
      <c r="E20" s="9" t="s">
        <v>10</v>
      </c>
      <c r="F20" s="10">
        <v>672000</v>
      </c>
      <c r="G20" s="10">
        <f t="shared" si="1"/>
        <v>672000</v>
      </c>
      <c r="H20" s="11">
        <f t="shared" si="2"/>
        <v>56000</v>
      </c>
      <c r="I20" s="10">
        <f t="shared" si="4"/>
        <v>56000</v>
      </c>
      <c r="J20" s="10">
        <f t="shared" si="4"/>
        <v>56000</v>
      </c>
      <c r="K20" s="10">
        <f t="shared" si="4"/>
        <v>56000</v>
      </c>
      <c r="L20" s="10">
        <f t="shared" si="4"/>
        <v>56000</v>
      </c>
      <c r="M20" s="10">
        <f t="shared" si="4"/>
        <v>56000</v>
      </c>
      <c r="N20" s="10">
        <f t="shared" si="4"/>
        <v>56000</v>
      </c>
      <c r="O20" s="10">
        <f t="shared" si="4"/>
        <v>56000</v>
      </c>
      <c r="P20" s="10">
        <f t="shared" si="4"/>
        <v>56000</v>
      </c>
      <c r="Q20" s="10">
        <f t="shared" si="4"/>
        <v>56000</v>
      </c>
      <c r="R20" s="10">
        <f t="shared" si="4"/>
        <v>56000</v>
      </c>
      <c r="S20" s="10">
        <f t="shared" si="4"/>
        <v>56000</v>
      </c>
    </row>
    <row r="21" spans="1:19" ht="28.8" x14ac:dyDescent="0.3">
      <c r="A21" s="7" t="s">
        <v>7</v>
      </c>
      <c r="B21" s="7" t="s">
        <v>28</v>
      </c>
      <c r="C21" s="7" t="s">
        <v>31</v>
      </c>
      <c r="D21" s="8" t="s">
        <v>31</v>
      </c>
      <c r="E21" s="9" t="s">
        <v>10</v>
      </c>
      <c r="F21" s="10">
        <v>7508516</v>
      </c>
      <c r="G21" s="10">
        <f t="shared" si="1"/>
        <v>7508516.0000000009</v>
      </c>
      <c r="H21" s="11">
        <f t="shared" si="2"/>
        <v>625709.66666666663</v>
      </c>
      <c r="I21" s="10">
        <f t="shared" si="4"/>
        <v>625709.66666666663</v>
      </c>
      <c r="J21" s="10">
        <f t="shared" si="4"/>
        <v>625709.66666666663</v>
      </c>
      <c r="K21" s="10">
        <f t="shared" si="4"/>
        <v>625709.66666666663</v>
      </c>
      <c r="L21" s="10">
        <f t="shared" si="4"/>
        <v>625709.66666666663</v>
      </c>
      <c r="M21" s="10">
        <f t="shared" si="4"/>
        <v>625709.66666666663</v>
      </c>
      <c r="N21" s="10">
        <f t="shared" si="4"/>
        <v>625709.66666666663</v>
      </c>
      <c r="O21" s="10">
        <f t="shared" si="4"/>
        <v>625709.66666666663</v>
      </c>
      <c r="P21" s="10">
        <f t="shared" si="4"/>
        <v>625709.66666666663</v>
      </c>
      <c r="Q21" s="10">
        <f t="shared" si="4"/>
        <v>625709.66666666663</v>
      </c>
      <c r="R21" s="10">
        <f t="shared" si="4"/>
        <v>625709.66666666663</v>
      </c>
      <c r="S21" s="10">
        <f t="shared" si="4"/>
        <v>625709.66666666663</v>
      </c>
    </row>
    <row r="22" spans="1:19" ht="28.8" x14ac:dyDescent="0.3">
      <c r="A22" s="7" t="s">
        <v>7</v>
      </c>
      <c r="B22" s="7" t="s">
        <v>28</v>
      </c>
      <c r="C22" s="7" t="s">
        <v>32</v>
      </c>
      <c r="D22" s="8" t="s">
        <v>32</v>
      </c>
      <c r="E22" s="9" t="s">
        <v>10</v>
      </c>
      <c r="F22" s="10">
        <v>225624.25999999998</v>
      </c>
      <c r="G22" s="10">
        <f t="shared" si="1"/>
        <v>225624.25999999998</v>
      </c>
      <c r="H22" s="11">
        <f t="shared" si="2"/>
        <v>18802.021666666664</v>
      </c>
      <c r="I22" s="10">
        <f t="shared" si="4"/>
        <v>18802.021666666664</v>
      </c>
      <c r="J22" s="10">
        <f t="shared" si="4"/>
        <v>18802.021666666664</v>
      </c>
      <c r="K22" s="10">
        <f t="shared" si="4"/>
        <v>18802.021666666664</v>
      </c>
      <c r="L22" s="10">
        <f t="shared" si="4"/>
        <v>18802.021666666664</v>
      </c>
      <c r="M22" s="10">
        <f t="shared" si="4"/>
        <v>18802.021666666664</v>
      </c>
      <c r="N22" s="10">
        <f t="shared" si="4"/>
        <v>18802.021666666664</v>
      </c>
      <c r="O22" s="10">
        <f t="shared" si="4"/>
        <v>18802.021666666664</v>
      </c>
      <c r="P22" s="10">
        <f t="shared" si="4"/>
        <v>18802.021666666664</v>
      </c>
      <c r="Q22" s="10">
        <f t="shared" si="4"/>
        <v>18802.021666666664</v>
      </c>
      <c r="R22" s="10">
        <f t="shared" si="4"/>
        <v>18802.021666666664</v>
      </c>
      <c r="S22" s="10">
        <f t="shared" si="4"/>
        <v>18802.021666666664</v>
      </c>
    </row>
    <row r="23" spans="1:19" ht="28.8" x14ac:dyDescent="0.3">
      <c r="A23" s="7" t="s">
        <v>7</v>
      </c>
      <c r="B23" s="7" t="s">
        <v>28</v>
      </c>
      <c r="C23" s="7" t="s">
        <v>33</v>
      </c>
      <c r="D23" s="8" t="s">
        <v>33</v>
      </c>
      <c r="E23" s="9" t="s">
        <v>10</v>
      </c>
      <c r="F23" s="10">
        <v>295000</v>
      </c>
      <c r="G23" s="10">
        <f t="shared" si="1"/>
        <v>295000</v>
      </c>
      <c r="H23" s="11">
        <f t="shared" si="2"/>
        <v>24583.333333333332</v>
      </c>
      <c r="I23" s="10">
        <f t="shared" si="4"/>
        <v>24583.333333333332</v>
      </c>
      <c r="J23" s="10">
        <f t="shared" si="4"/>
        <v>24583.333333333332</v>
      </c>
      <c r="K23" s="10">
        <f t="shared" si="4"/>
        <v>24583.333333333332</v>
      </c>
      <c r="L23" s="10">
        <f t="shared" si="4"/>
        <v>24583.333333333332</v>
      </c>
      <c r="M23" s="10">
        <f t="shared" si="4"/>
        <v>24583.333333333332</v>
      </c>
      <c r="N23" s="10">
        <f t="shared" si="4"/>
        <v>24583.333333333332</v>
      </c>
      <c r="O23" s="10">
        <f t="shared" si="4"/>
        <v>24583.333333333332</v>
      </c>
      <c r="P23" s="10">
        <f t="shared" si="4"/>
        <v>24583.333333333332</v>
      </c>
      <c r="Q23" s="10">
        <f t="shared" si="4"/>
        <v>24583.333333333332</v>
      </c>
      <c r="R23" s="10">
        <f t="shared" si="4"/>
        <v>24583.333333333332</v>
      </c>
      <c r="S23" s="10">
        <f t="shared" si="4"/>
        <v>24583.333333333332</v>
      </c>
    </row>
    <row r="24" spans="1:19" x14ac:dyDescent="0.3">
      <c r="A24" s="7" t="s">
        <v>7</v>
      </c>
      <c r="B24" s="7" t="s">
        <v>28</v>
      </c>
      <c r="C24" s="7" t="s">
        <v>34</v>
      </c>
      <c r="D24" s="8" t="s">
        <v>34</v>
      </c>
      <c r="E24" s="9" t="s">
        <v>10</v>
      </c>
      <c r="F24" s="10">
        <v>424800</v>
      </c>
      <c r="G24" s="10">
        <f t="shared" si="1"/>
        <v>424800</v>
      </c>
      <c r="H24" s="11">
        <f t="shared" si="2"/>
        <v>35400</v>
      </c>
      <c r="I24" s="10">
        <f t="shared" si="4"/>
        <v>35400</v>
      </c>
      <c r="J24" s="10">
        <f t="shared" si="4"/>
        <v>35400</v>
      </c>
      <c r="K24" s="10">
        <f t="shared" si="4"/>
        <v>35400</v>
      </c>
      <c r="L24" s="10">
        <f t="shared" si="4"/>
        <v>35400</v>
      </c>
      <c r="M24" s="10">
        <f t="shared" si="4"/>
        <v>35400</v>
      </c>
      <c r="N24" s="10">
        <f t="shared" si="4"/>
        <v>35400</v>
      </c>
      <c r="O24" s="10">
        <f t="shared" si="4"/>
        <v>35400</v>
      </c>
      <c r="P24" s="10">
        <f t="shared" si="4"/>
        <v>35400</v>
      </c>
      <c r="Q24" s="10">
        <f t="shared" si="4"/>
        <v>35400</v>
      </c>
      <c r="R24" s="10">
        <f t="shared" si="4"/>
        <v>35400</v>
      </c>
      <c r="S24" s="10">
        <f t="shared" si="4"/>
        <v>35400</v>
      </c>
    </row>
    <row r="25" spans="1:19" ht="57.6" x14ac:dyDescent="0.3">
      <c r="A25" s="7" t="s">
        <v>7</v>
      </c>
      <c r="B25" s="7" t="s">
        <v>28</v>
      </c>
      <c r="C25" s="7" t="s">
        <v>35</v>
      </c>
      <c r="D25" s="8" t="s">
        <v>35</v>
      </c>
      <c r="E25" s="9" t="s">
        <v>10</v>
      </c>
      <c r="F25" s="10">
        <v>236000</v>
      </c>
      <c r="G25" s="10">
        <f t="shared" si="1"/>
        <v>235999.99999999997</v>
      </c>
      <c r="H25" s="11">
        <f t="shared" si="2"/>
        <v>19666.666666666668</v>
      </c>
      <c r="I25" s="10">
        <f t="shared" si="4"/>
        <v>19666.666666666668</v>
      </c>
      <c r="J25" s="10">
        <f t="shared" si="4"/>
        <v>19666.666666666668</v>
      </c>
      <c r="K25" s="10">
        <f t="shared" si="4"/>
        <v>19666.666666666668</v>
      </c>
      <c r="L25" s="10">
        <f t="shared" si="4"/>
        <v>19666.666666666668</v>
      </c>
      <c r="M25" s="10">
        <f t="shared" si="4"/>
        <v>19666.666666666668</v>
      </c>
      <c r="N25" s="10">
        <f t="shared" si="4"/>
        <v>19666.666666666668</v>
      </c>
      <c r="O25" s="10">
        <f t="shared" si="4"/>
        <v>19666.666666666668</v>
      </c>
      <c r="P25" s="10">
        <f t="shared" si="4"/>
        <v>19666.666666666668</v>
      </c>
      <c r="Q25" s="10">
        <f t="shared" si="4"/>
        <v>19666.666666666668</v>
      </c>
      <c r="R25" s="10">
        <f t="shared" si="4"/>
        <v>19666.666666666668</v>
      </c>
      <c r="S25" s="10">
        <f t="shared" si="4"/>
        <v>19666.666666666668</v>
      </c>
    </row>
    <row r="26" spans="1:19" ht="43.2" x14ac:dyDescent="0.3">
      <c r="A26" s="7" t="s">
        <v>7</v>
      </c>
      <c r="B26" s="13" t="s">
        <v>36</v>
      </c>
      <c r="C26" s="7" t="s">
        <v>37</v>
      </c>
      <c r="D26" s="8" t="s">
        <v>37</v>
      </c>
      <c r="E26" s="9" t="s">
        <v>10</v>
      </c>
      <c r="F26" s="10">
        <v>300000</v>
      </c>
      <c r="G26" s="10">
        <f t="shared" si="1"/>
        <v>300000</v>
      </c>
      <c r="H26" s="11">
        <f t="shared" si="2"/>
        <v>25000</v>
      </c>
      <c r="I26" s="10">
        <f t="shared" si="4"/>
        <v>25000</v>
      </c>
      <c r="J26" s="10">
        <f t="shared" si="4"/>
        <v>25000</v>
      </c>
      <c r="K26" s="10">
        <f t="shared" si="4"/>
        <v>25000</v>
      </c>
      <c r="L26" s="10">
        <f t="shared" si="4"/>
        <v>25000</v>
      </c>
      <c r="M26" s="10">
        <f t="shared" si="4"/>
        <v>25000</v>
      </c>
      <c r="N26" s="10">
        <f t="shared" si="4"/>
        <v>25000</v>
      </c>
      <c r="O26" s="10">
        <f t="shared" si="4"/>
        <v>25000</v>
      </c>
      <c r="P26" s="10">
        <f t="shared" si="4"/>
        <v>25000</v>
      </c>
      <c r="Q26" s="10">
        <f t="shared" si="4"/>
        <v>25000</v>
      </c>
      <c r="R26" s="10">
        <f t="shared" si="4"/>
        <v>25000</v>
      </c>
      <c r="S26" s="10">
        <f t="shared" si="4"/>
        <v>25000</v>
      </c>
    </row>
    <row r="27" spans="1:19" ht="43.2" x14ac:dyDescent="0.3">
      <c r="A27" s="7" t="s">
        <v>7</v>
      </c>
      <c r="B27" s="13" t="s">
        <v>36</v>
      </c>
      <c r="C27" s="7" t="s">
        <v>38</v>
      </c>
      <c r="D27" s="8" t="s">
        <v>38</v>
      </c>
      <c r="E27" s="9" t="s">
        <v>10</v>
      </c>
      <c r="F27" s="10">
        <v>400000</v>
      </c>
      <c r="G27" s="10">
        <f t="shared" si="1"/>
        <v>399999.99999999994</v>
      </c>
      <c r="H27" s="11">
        <f t="shared" si="2"/>
        <v>33333.333333333336</v>
      </c>
      <c r="I27" s="10">
        <f t="shared" si="4"/>
        <v>33333.333333333336</v>
      </c>
      <c r="J27" s="10">
        <f t="shared" si="4"/>
        <v>33333.333333333336</v>
      </c>
      <c r="K27" s="10">
        <f t="shared" si="4"/>
        <v>33333.333333333336</v>
      </c>
      <c r="L27" s="10">
        <f t="shared" si="4"/>
        <v>33333.333333333336</v>
      </c>
      <c r="M27" s="10">
        <f t="shared" si="4"/>
        <v>33333.333333333336</v>
      </c>
      <c r="N27" s="10">
        <f t="shared" si="4"/>
        <v>33333.333333333336</v>
      </c>
      <c r="O27" s="10">
        <f t="shared" si="4"/>
        <v>33333.333333333336</v>
      </c>
      <c r="P27" s="10">
        <f t="shared" si="4"/>
        <v>33333.333333333336</v>
      </c>
      <c r="Q27" s="10">
        <f t="shared" si="4"/>
        <v>33333.333333333336</v>
      </c>
      <c r="R27" s="10">
        <f t="shared" si="4"/>
        <v>33333.333333333336</v>
      </c>
      <c r="S27" s="10">
        <f t="shared" si="4"/>
        <v>33333.333333333336</v>
      </c>
    </row>
    <row r="28" spans="1:19" ht="43.2" x14ac:dyDescent="0.3">
      <c r="A28" s="7" t="s">
        <v>7</v>
      </c>
      <c r="B28" s="7" t="s">
        <v>39</v>
      </c>
      <c r="C28" s="7" t="s">
        <v>40</v>
      </c>
      <c r="D28" s="8" t="s">
        <v>40</v>
      </c>
      <c r="E28" s="9" t="s">
        <v>10</v>
      </c>
      <c r="F28" s="10">
        <v>2251935.5833333335</v>
      </c>
      <c r="G28" s="10">
        <f t="shared" si="1"/>
        <v>2251935.583333333</v>
      </c>
      <c r="H28" s="11">
        <f t="shared" si="2"/>
        <v>187661.29861111112</v>
      </c>
      <c r="I28" s="10">
        <f t="shared" si="4"/>
        <v>187661.29861111112</v>
      </c>
      <c r="J28" s="10">
        <f t="shared" si="4"/>
        <v>187661.29861111112</v>
      </c>
      <c r="K28" s="10">
        <f t="shared" si="4"/>
        <v>187661.29861111112</v>
      </c>
      <c r="L28" s="10">
        <f t="shared" si="4"/>
        <v>187661.29861111112</v>
      </c>
      <c r="M28" s="10">
        <f t="shared" si="4"/>
        <v>187661.29861111112</v>
      </c>
      <c r="N28" s="10">
        <f t="shared" si="4"/>
        <v>187661.29861111112</v>
      </c>
      <c r="O28" s="10">
        <f t="shared" si="4"/>
        <v>187661.29861111112</v>
      </c>
      <c r="P28" s="10">
        <f t="shared" si="4"/>
        <v>187661.29861111112</v>
      </c>
      <c r="Q28" s="10">
        <f t="shared" si="4"/>
        <v>187661.29861111112</v>
      </c>
      <c r="R28" s="10">
        <f t="shared" si="4"/>
        <v>187661.29861111112</v>
      </c>
      <c r="S28" s="10">
        <f t="shared" si="4"/>
        <v>187661.29861111112</v>
      </c>
    </row>
    <row r="29" spans="1:19" ht="43.2" x14ac:dyDescent="0.3">
      <c r="A29" s="7" t="s">
        <v>7</v>
      </c>
      <c r="B29" s="7" t="s">
        <v>39</v>
      </c>
      <c r="C29" s="7" t="s">
        <v>41</v>
      </c>
      <c r="D29" s="8" t="s">
        <v>41</v>
      </c>
      <c r="E29" s="9" t="s">
        <v>10</v>
      </c>
      <c r="F29" s="10">
        <v>4219200</v>
      </c>
      <c r="G29" s="10">
        <f t="shared" si="1"/>
        <v>4219200</v>
      </c>
      <c r="H29" s="11">
        <f t="shared" si="2"/>
        <v>351600</v>
      </c>
      <c r="I29" s="10">
        <f t="shared" si="4"/>
        <v>351600</v>
      </c>
      <c r="J29" s="10">
        <f t="shared" si="4"/>
        <v>351600</v>
      </c>
      <c r="K29" s="10">
        <f t="shared" si="4"/>
        <v>351600</v>
      </c>
      <c r="L29" s="10">
        <f t="shared" si="4"/>
        <v>351600</v>
      </c>
      <c r="M29" s="10">
        <f t="shared" si="4"/>
        <v>351600</v>
      </c>
      <c r="N29" s="10">
        <f t="shared" si="4"/>
        <v>351600</v>
      </c>
      <c r="O29" s="10">
        <f t="shared" si="4"/>
        <v>351600</v>
      </c>
      <c r="P29" s="10">
        <f t="shared" si="4"/>
        <v>351600</v>
      </c>
      <c r="Q29" s="10">
        <f t="shared" si="4"/>
        <v>351600</v>
      </c>
      <c r="R29" s="10">
        <f t="shared" si="4"/>
        <v>351600</v>
      </c>
      <c r="S29" s="10">
        <f t="shared" si="4"/>
        <v>351600</v>
      </c>
    </row>
    <row r="30" spans="1:19" ht="158.4" x14ac:dyDescent="0.3">
      <c r="A30" s="7" t="s">
        <v>7</v>
      </c>
      <c r="B30" s="7" t="s">
        <v>39</v>
      </c>
      <c r="C30" s="7" t="s">
        <v>42</v>
      </c>
      <c r="D30" s="8" t="s">
        <v>42</v>
      </c>
      <c r="E30" s="9" t="s">
        <v>10</v>
      </c>
      <c r="F30" s="10">
        <v>1595004</v>
      </c>
      <c r="G30" s="10">
        <f t="shared" si="1"/>
        <v>1595004</v>
      </c>
      <c r="H30" s="11">
        <f t="shared" si="2"/>
        <v>132917</v>
      </c>
      <c r="I30" s="10">
        <f t="shared" si="4"/>
        <v>132917</v>
      </c>
      <c r="J30" s="10">
        <f t="shared" si="4"/>
        <v>132917</v>
      </c>
      <c r="K30" s="10">
        <f t="shared" si="4"/>
        <v>132917</v>
      </c>
      <c r="L30" s="10">
        <f t="shared" si="4"/>
        <v>132917</v>
      </c>
      <c r="M30" s="10">
        <f t="shared" si="4"/>
        <v>132917</v>
      </c>
      <c r="N30" s="10">
        <f t="shared" si="4"/>
        <v>132917</v>
      </c>
      <c r="O30" s="10">
        <f t="shared" si="4"/>
        <v>132917</v>
      </c>
      <c r="P30" s="10">
        <f t="shared" si="4"/>
        <v>132917</v>
      </c>
      <c r="Q30" s="10">
        <f t="shared" si="4"/>
        <v>132917</v>
      </c>
      <c r="R30" s="10">
        <f t="shared" si="4"/>
        <v>132917</v>
      </c>
      <c r="S30" s="10">
        <f t="shared" si="4"/>
        <v>132917</v>
      </c>
    </row>
    <row r="31" spans="1:19" ht="72" x14ac:dyDescent="0.3">
      <c r="A31" s="7" t="s">
        <v>7</v>
      </c>
      <c r="B31" s="7" t="s">
        <v>39</v>
      </c>
      <c r="C31" s="7" t="s">
        <v>43</v>
      </c>
      <c r="D31" s="8" t="s">
        <v>43</v>
      </c>
      <c r="E31" s="9" t="s">
        <v>10</v>
      </c>
      <c r="F31" s="10">
        <v>1939920</v>
      </c>
      <c r="G31" s="10">
        <f t="shared" si="1"/>
        <v>1939920</v>
      </c>
      <c r="H31" s="11">
        <f t="shared" si="2"/>
        <v>161660</v>
      </c>
      <c r="I31" s="10">
        <f t="shared" si="4"/>
        <v>161660</v>
      </c>
      <c r="J31" s="10">
        <f t="shared" si="4"/>
        <v>161660</v>
      </c>
      <c r="K31" s="10">
        <f t="shared" si="4"/>
        <v>161660</v>
      </c>
      <c r="L31" s="10">
        <f t="shared" si="4"/>
        <v>161660</v>
      </c>
      <c r="M31" s="10">
        <f t="shared" si="4"/>
        <v>161660</v>
      </c>
      <c r="N31" s="10">
        <f t="shared" si="4"/>
        <v>161660</v>
      </c>
      <c r="O31" s="10">
        <f t="shared" si="4"/>
        <v>161660</v>
      </c>
      <c r="P31" s="10">
        <f t="shared" si="4"/>
        <v>161660</v>
      </c>
      <c r="Q31" s="10">
        <f t="shared" si="4"/>
        <v>161660</v>
      </c>
      <c r="R31" s="10">
        <f t="shared" si="4"/>
        <v>161660</v>
      </c>
      <c r="S31" s="10">
        <f t="shared" si="4"/>
        <v>161660</v>
      </c>
    </row>
    <row r="32" spans="1:19" ht="86.4" x14ac:dyDescent="0.3">
      <c r="A32" s="7" t="s">
        <v>7</v>
      </c>
      <c r="B32" s="7" t="s">
        <v>39</v>
      </c>
      <c r="C32" s="7" t="s">
        <v>44</v>
      </c>
      <c r="D32" s="8" t="s">
        <v>44</v>
      </c>
      <c r="E32" s="9" t="s">
        <v>10</v>
      </c>
      <c r="F32" s="10">
        <v>218299.99999999997</v>
      </c>
      <c r="G32" s="10">
        <f t="shared" si="1"/>
        <v>218299.99999999991</v>
      </c>
      <c r="H32" s="11">
        <f t="shared" si="2"/>
        <v>18191.666666666664</v>
      </c>
      <c r="I32" s="10">
        <f t="shared" si="4"/>
        <v>18191.666666666664</v>
      </c>
      <c r="J32" s="10">
        <f t="shared" si="4"/>
        <v>18191.666666666664</v>
      </c>
      <c r="K32" s="10">
        <f t="shared" si="4"/>
        <v>18191.666666666664</v>
      </c>
      <c r="L32" s="10">
        <f t="shared" si="4"/>
        <v>18191.666666666664</v>
      </c>
      <c r="M32" s="10">
        <f t="shared" si="4"/>
        <v>18191.666666666664</v>
      </c>
      <c r="N32" s="10">
        <f t="shared" si="4"/>
        <v>18191.666666666664</v>
      </c>
      <c r="O32" s="10">
        <f t="shared" si="4"/>
        <v>18191.666666666664</v>
      </c>
      <c r="P32" s="10">
        <f t="shared" si="4"/>
        <v>18191.666666666664</v>
      </c>
      <c r="Q32" s="10">
        <f t="shared" si="4"/>
        <v>18191.666666666664</v>
      </c>
      <c r="R32" s="10">
        <f t="shared" si="4"/>
        <v>18191.666666666664</v>
      </c>
      <c r="S32" s="10">
        <f t="shared" si="4"/>
        <v>18191.666666666664</v>
      </c>
    </row>
    <row r="33" spans="1:19" ht="28.8" x14ac:dyDescent="0.3">
      <c r="A33" s="7" t="s">
        <v>7</v>
      </c>
      <c r="B33" s="7" t="s">
        <v>39</v>
      </c>
      <c r="C33" s="7" t="s">
        <v>45</v>
      </c>
      <c r="D33" s="8" t="s">
        <v>45</v>
      </c>
      <c r="E33" s="9" t="s">
        <v>10</v>
      </c>
      <c r="F33" s="10">
        <v>210040</v>
      </c>
      <c r="G33" s="10">
        <f t="shared" si="1"/>
        <v>210040.00000000003</v>
      </c>
      <c r="H33" s="11">
        <f t="shared" si="2"/>
        <v>17503.333333333332</v>
      </c>
      <c r="I33" s="10">
        <f t="shared" si="4"/>
        <v>17503.333333333332</v>
      </c>
      <c r="J33" s="10">
        <f t="shared" si="4"/>
        <v>17503.333333333332</v>
      </c>
      <c r="K33" s="10">
        <f t="shared" si="4"/>
        <v>17503.333333333332</v>
      </c>
      <c r="L33" s="10">
        <f t="shared" si="4"/>
        <v>17503.333333333332</v>
      </c>
      <c r="M33" s="10">
        <f t="shared" si="4"/>
        <v>17503.333333333332</v>
      </c>
      <c r="N33" s="10">
        <f t="shared" si="4"/>
        <v>17503.333333333332</v>
      </c>
      <c r="O33" s="10">
        <f t="shared" si="4"/>
        <v>17503.333333333332</v>
      </c>
      <c r="P33" s="10">
        <f t="shared" si="4"/>
        <v>17503.333333333332</v>
      </c>
      <c r="Q33" s="10">
        <f t="shared" si="4"/>
        <v>17503.333333333332</v>
      </c>
      <c r="R33" s="10">
        <f t="shared" si="4"/>
        <v>17503.333333333332</v>
      </c>
      <c r="S33" s="10">
        <f t="shared" si="4"/>
        <v>17503.333333333332</v>
      </c>
    </row>
    <row r="34" spans="1:19" ht="43.2" x14ac:dyDescent="0.3">
      <c r="A34" s="7" t="s">
        <v>7</v>
      </c>
      <c r="B34" s="7" t="s">
        <v>39</v>
      </c>
      <c r="C34" s="15" t="s">
        <v>46</v>
      </c>
      <c r="D34" s="8" t="s">
        <v>46</v>
      </c>
      <c r="E34" s="9" t="s">
        <v>10</v>
      </c>
      <c r="F34" s="10">
        <v>3540000</v>
      </c>
      <c r="G34" s="10">
        <f t="shared" si="1"/>
        <v>3540000</v>
      </c>
      <c r="H34" s="11">
        <f t="shared" si="2"/>
        <v>295000</v>
      </c>
      <c r="I34" s="10">
        <f t="shared" si="4"/>
        <v>295000</v>
      </c>
      <c r="J34" s="10">
        <f t="shared" si="4"/>
        <v>295000</v>
      </c>
      <c r="K34" s="10">
        <f t="shared" si="4"/>
        <v>295000</v>
      </c>
      <c r="L34" s="10">
        <f t="shared" si="4"/>
        <v>295000</v>
      </c>
      <c r="M34" s="10">
        <f t="shared" si="4"/>
        <v>295000</v>
      </c>
      <c r="N34" s="10">
        <f t="shared" si="4"/>
        <v>295000</v>
      </c>
      <c r="O34" s="10">
        <f t="shared" si="4"/>
        <v>295000</v>
      </c>
      <c r="P34" s="10">
        <f t="shared" si="4"/>
        <v>295000</v>
      </c>
      <c r="Q34" s="10">
        <f t="shared" si="4"/>
        <v>295000</v>
      </c>
      <c r="R34" s="10">
        <f t="shared" si="4"/>
        <v>295000</v>
      </c>
      <c r="S34" s="10">
        <f t="shared" si="4"/>
        <v>295000</v>
      </c>
    </row>
    <row r="35" spans="1:19" ht="28.8" x14ac:dyDescent="0.3">
      <c r="A35" s="7" t="s">
        <v>7</v>
      </c>
      <c r="B35" s="7" t="s">
        <v>47</v>
      </c>
      <c r="C35" s="7" t="s">
        <v>48</v>
      </c>
      <c r="D35" s="8" t="s">
        <v>48</v>
      </c>
      <c r="E35" s="9" t="s">
        <v>10</v>
      </c>
      <c r="F35" s="10">
        <v>1416000</v>
      </c>
      <c r="G35" s="10">
        <f t="shared" si="1"/>
        <v>1416000</v>
      </c>
      <c r="H35" s="11">
        <f t="shared" si="2"/>
        <v>118000</v>
      </c>
      <c r="I35" s="10">
        <f t="shared" ref="I35:S50" si="5">H35</f>
        <v>118000</v>
      </c>
      <c r="J35" s="10">
        <f t="shared" si="5"/>
        <v>118000</v>
      </c>
      <c r="K35" s="10">
        <f t="shared" si="5"/>
        <v>118000</v>
      </c>
      <c r="L35" s="10">
        <f t="shared" si="5"/>
        <v>118000</v>
      </c>
      <c r="M35" s="10">
        <f t="shared" si="5"/>
        <v>118000</v>
      </c>
      <c r="N35" s="10">
        <f t="shared" si="5"/>
        <v>118000</v>
      </c>
      <c r="O35" s="10">
        <f t="shared" si="5"/>
        <v>118000</v>
      </c>
      <c r="P35" s="10">
        <f t="shared" si="5"/>
        <v>118000</v>
      </c>
      <c r="Q35" s="10">
        <f t="shared" si="5"/>
        <v>118000</v>
      </c>
      <c r="R35" s="10">
        <f t="shared" si="5"/>
        <v>118000</v>
      </c>
      <c r="S35" s="10">
        <f t="shared" si="5"/>
        <v>118000</v>
      </c>
    </row>
    <row r="36" spans="1:19" ht="86.4" x14ac:dyDescent="0.3">
      <c r="A36" s="7" t="s">
        <v>7</v>
      </c>
      <c r="B36" s="7" t="s">
        <v>47</v>
      </c>
      <c r="C36" s="7" t="s">
        <v>49</v>
      </c>
      <c r="D36" s="8" t="s">
        <v>49</v>
      </c>
      <c r="E36" s="9" t="s">
        <v>10</v>
      </c>
      <c r="F36" s="10">
        <v>295000</v>
      </c>
      <c r="G36" s="10">
        <f t="shared" si="1"/>
        <v>295000</v>
      </c>
      <c r="H36" s="11">
        <f t="shared" si="2"/>
        <v>24583.333333333332</v>
      </c>
      <c r="I36" s="10">
        <f t="shared" si="5"/>
        <v>24583.333333333332</v>
      </c>
      <c r="J36" s="10">
        <f t="shared" si="5"/>
        <v>24583.333333333332</v>
      </c>
      <c r="K36" s="10">
        <f t="shared" si="5"/>
        <v>24583.333333333332</v>
      </c>
      <c r="L36" s="10">
        <f t="shared" si="5"/>
        <v>24583.333333333332</v>
      </c>
      <c r="M36" s="10">
        <f t="shared" si="5"/>
        <v>24583.333333333332</v>
      </c>
      <c r="N36" s="10">
        <f t="shared" si="5"/>
        <v>24583.333333333332</v>
      </c>
      <c r="O36" s="10">
        <f t="shared" si="5"/>
        <v>24583.333333333332</v>
      </c>
      <c r="P36" s="10">
        <f t="shared" si="5"/>
        <v>24583.333333333332</v>
      </c>
      <c r="Q36" s="10">
        <f t="shared" si="5"/>
        <v>24583.333333333332</v>
      </c>
      <c r="R36" s="10">
        <f t="shared" si="5"/>
        <v>24583.333333333332</v>
      </c>
      <c r="S36" s="10">
        <f t="shared" si="5"/>
        <v>24583.333333333332</v>
      </c>
    </row>
    <row r="37" spans="1:19" ht="28.8" x14ac:dyDescent="0.3">
      <c r="A37" s="7" t="s">
        <v>7</v>
      </c>
      <c r="B37" s="7" t="s">
        <v>47</v>
      </c>
      <c r="C37" s="7" t="s">
        <v>50</v>
      </c>
      <c r="D37" s="8" t="s">
        <v>50</v>
      </c>
      <c r="E37" s="9" t="s">
        <v>10</v>
      </c>
      <c r="F37" s="10">
        <v>84959.999999999985</v>
      </c>
      <c r="G37" s="10">
        <f t="shared" si="1"/>
        <v>84959.999999999985</v>
      </c>
      <c r="H37" s="11">
        <f t="shared" si="2"/>
        <v>7079.9999999999991</v>
      </c>
      <c r="I37" s="10">
        <f t="shared" si="5"/>
        <v>7079.9999999999991</v>
      </c>
      <c r="J37" s="10">
        <f t="shared" si="5"/>
        <v>7079.9999999999991</v>
      </c>
      <c r="K37" s="10">
        <f t="shared" si="5"/>
        <v>7079.9999999999991</v>
      </c>
      <c r="L37" s="10">
        <f t="shared" si="5"/>
        <v>7079.9999999999991</v>
      </c>
      <c r="M37" s="10">
        <f t="shared" si="5"/>
        <v>7079.9999999999991</v>
      </c>
      <c r="N37" s="10">
        <f t="shared" si="5"/>
        <v>7079.9999999999991</v>
      </c>
      <c r="O37" s="10">
        <f t="shared" si="5"/>
        <v>7079.9999999999991</v>
      </c>
      <c r="P37" s="10">
        <f t="shared" si="5"/>
        <v>7079.9999999999991</v>
      </c>
      <c r="Q37" s="10">
        <f t="shared" si="5"/>
        <v>7079.9999999999991</v>
      </c>
      <c r="R37" s="10">
        <f t="shared" si="5"/>
        <v>7079.9999999999991</v>
      </c>
      <c r="S37" s="10">
        <f t="shared" si="5"/>
        <v>7079.9999999999991</v>
      </c>
    </row>
    <row r="38" spans="1:19" ht="43.2" x14ac:dyDescent="0.3">
      <c r="A38" s="7" t="s">
        <v>7</v>
      </c>
      <c r="B38" s="7" t="s">
        <v>47</v>
      </c>
      <c r="C38" s="7" t="s">
        <v>51</v>
      </c>
      <c r="D38" s="8" t="s">
        <v>51</v>
      </c>
      <c r="E38" s="9" t="s">
        <v>10</v>
      </c>
      <c r="F38" s="10">
        <v>413000</v>
      </c>
      <c r="G38" s="10">
        <f t="shared" si="1"/>
        <v>413000.00000000006</v>
      </c>
      <c r="H38" s="11">
        <f t="shared" si="2"/>
        <v>34416.666666666664</v>
      </c>
      <c r="I38" s="10">
        <f t="shared" si="5"/>
        <v>34416.666666666664</v>
      </c>
      <c r="J38" s="10">
        <f t="shared" si="5"/>
        <v>34416.666666666664</v>
      </c>
      <c r="K38" s="10">
        <f t="shared" si="5"/>
        <v>34416.666666666664</v>
      </c>
      <c r="L38" s="10">
        <f t="shared" si="5"/>
        <v>34416.666666666664</v>
      </c>
      <c r="M38" s="10">
        <f t="shared" si="5"/>
        <v>34416.666666666664</v>
      </c>
      <c r="N38" s="10">
        <f t="shared" si="5"/>
        <v>34416.666666666664</v>
      </c>
      <c r="O38" s="10">
        <f t="shared" si="5"/>
        <v>34416.666666666664</v>
      </c>
      <c r="P38" s="10">
        <f t="shared" si="5"/>
        <v>34416.666666666664</v>
      </c>
      <c r="Q38" s="10">
        <f t="shared" si="5"/>
        <v>34416.666666666664</v>
      </c>
      <c r="R38" s="10">
        <f t="shared" si="5"/>
        <v>34416.666666666664</v>
      </c>
      <c r="S38" s="10">
        <f t="shared" si="5"/>
        <v>34416.666666666664</v>
      </c>
    </row>
    <row r="39" spans="1:19" ht="43.2" x14ac:dyDescent="0.3">
      <c r="A39" s="7" t="s">
        <v>7</v>
      </c>
      <c r="B39" s="7" t="s">
        <v>47</v>
      </c>
      <c r="C39" s="7" t="s">
        <v>52</v>
      </c>
      <c r="D39" s="8" t="s">
        <v>52</v>
      </c>
      <c r="E39" s="9" t="s">
        <v>10</v>
      </c>
      <c r="F39" s="10">
        <v>708000</v>
      </c>
      <c r="G39" s="10">
        <f t="shared" si="1"/>
        <v>708000</v>
      </c>
      <c r="H39" s="11">
        <f t="shared" si="2"/>
        <v>59000</v>
      </c>
      <c r="I39" s="10">
        <f t="shared" si="5"/>
        <v>59000</v>
      </c>
      <c r="J39" s="10">
        <f t="shared" si="5"/>
        <v>59000</v>
      </c>
      <c r="K39" s="10">
        <f t="shared" si="5"/>
        <v>59000</v>
      </c>
      <c r="L39" s="10">
        <f t="shared" si="5"/>
        <v>59000</v>
      </c>
      <c r="M39" s="10">
        <f t="shared" si="5"/>
        <v>59000</v>
      </c>
      <c r="N39" s="10">
        <f t="shared" si="5"/>
        <v>59000</v>
      </c>
      <c r="O39" s="10">
        <f t="shared" si="5"/>
        <v>59000</v>
      </c>
      <c r="P39" s="10">
        <f t="shared" si="5"/>
        <v>59000</v>
      </c>
      <c r="Q39" s="10">
        <f t="shared" si="5"/>
        <v>59000</v>
      </c>
      <c r="R39" s="10">
        <f t="shared" si="5"/>
        <v>59000</v>
      </c>
      <c r="S39" s="10">
        <f t="shared" si="5"/>
        <v>59000</v>
      </c>
    </row>
    <row r="40" spans="1:19" ht="28.8" x14ac:dyDescent="0.3">
      <c r="A40" s="7" t="s">
        <v>7</v>
      </c>
      <c r="B40" s="7" t="s">
        <v>47</v>
      </c>
      <c r="C40" s="7" t="s">
        <v>53</v>
      </c>
      <c r="D40" s="8" t="s">
        <v>53</v>
      </c>
      <c r="E40" s="9" t="s">
        <v>10</v>
      </c>
      <c r="F40" s="10">
        <v>236000</v>
      </c>
      <c r="G40" s="10">
        <f t="shared" si="1"/>
        <v>235999.99999999997</v>
      </c>
      <c r="H40" s="11">
        <f t="shared" si="2"/>
        <v>19666.666666666668</v>
      </c>
      <c r="I40" s="10">
        <f t="shared" si="5"/>
        <v>19666.666666666668</v>
      </c>
      <c r="J40" s="10">
        <f t="shared" si="5"/>
        <v>19666.666666666668</v>
      </c>
      <c r="K40" s="10">
        <f t="shared" si="5"/>
        <v>19666.666666666668</v>
      </c>
      <c r="L40" s="10">
        <f t="shared" si="5"/>
        <v>19666.666666666668</v>
      </c>
      <c r="M40" s="10">
        <f t="shared" si="5"/>
        <v>19666.666666666668</v>
      </c>
      <c r="N40" s="10">
        <f t="shared" si="5"/>
        <v>19666.666666666668</v>
      </c>
      <c r="O40" s="10">
        <f t="shared" si="5"/>
        <v>19666.666666666668</v>
      </c>
      <c r="P40" s="10">
        <f t="shared" si="5"/>
        <v>19666.666666666668</v>
      </c>
      <c r="Q40" s="10">
        <f t="shared" si="5"/>
        <v>19666.666666666668</v>
      </c>
      <c r="R40" s="10">
        <f t="shared" si="5"/>
        <v>19666.666666666668</v>
      </c>
      <c r="S40" s="10">
        <f t="shared" si="5"/>
        <v>19666.666666666668</v>
      </c>
    </row>
    <row r="41" spans="1:19" ht="28.8" x14ac:dyDescent="0.3">
      <c r="A41" s="7" t="s">
        <v>7</v>
      </c>
      <c r="B41" s="7" t="s">
        <v>54</v>
      </c>
      <c r="C41" s="16" t="s">
        <v>55</v>
      </c>
      <c r="D41" s="16" t="s">
        <v>55</v>
      </c>
      <c r="E41" s="9" t="s">
        <v>10</v>
      </c>
      <c r="F41" s="10">
        <v>236000</v>
      </c>
      <c r="G41" s="10">
        <f t="shared" si="1"/>
        <v>235999.99999999997</v>
      </c>
      <c r="H41" s="11">
        <f t="shared" si="2"/>
        <v>19666.666666666668</v>
      </c>
      <c r="I41" s="10">
        <f t="shared" si="5"/>
        <v>19666.666666666668</v>
      </c>
      <c r="J41" s="10">
        <f t="shared" si="5"/>
        <v>19666.666666666668</v>
      </c>
      <c r="K41" s="10">
        <f t="shared" si="5"/>
        <v>19666.666666666668</v>
      </c>
      <c r="L41" s="10">
        <f t="shared" si="5"/>
        <v>19666.666666666668</v>
      </c>
      <c r="M41" s="10">
        <f t="shared" si="5"/>
        <v>19666.666666666668</v>
      </c>
      <c r="N41" s="10">
        <f t="shared" si="5"/>
        <v>19666.666666666668</v>
      </c>
      <c r="O41" s="10">
        <f t="shared" si="5"/>
        <v>19666.666666666668</v>
      </c>
      <c r="P41" s="10">
        <f t="shared" si="5"/>
        <v>19666.666666666668</v>
      </c>
      <c r="Q41" s="10">
        <f t="shared" si="5"/>
        <v>19666.666666666668</v>
      </c>
      <c r="R41" s="10">
        <f t="shared" si="5"/>
        <v>19666.666666666668</v>
      </c>
      <c r="S41" s="10">
        <f t="shared" si="5"/>
        <v>19666.666666666668</v>
      </c>
    </row>
    <row r="42" spans="1:19" ht="28.8" x14ac:dyDescent="0.3">
      <c r="A42" s="7" t="s">
        <v>7</v>
      </c>
      <c r="B42" s="7" t="s">
        <v>54</v>
      </c>
      <c r="C42" s="7" t="s">
        <v>56</v>
      </c>
      <c r="D42" s="8" t="s">
        <v>56</v>
      </c>
      <c r="E42" s="9" t="s">
        <v>10</v>
      </c>
      <c r="F42" s="10">
        <v>59000</v>
      </c>
      <c r="G42" s="10">
        <f t="shared" si="1"/>
        <v>58999.999999999993</v>
      </c>
      <c r="H42" s="11">
        <f t="shared" si="2"/>
        <v>4916.666666666667</v>
      </c>
      <c r="I42" s="10">
        <f t="shared" si="5"/>
        <v>4916.666666666667</v>
      </c>
      <c r="J42" s="10">
        <f t="shared" si="5"/>
        <v>4916.666666666667</v>
      </c>
      <c r="K42" s="10">
        <f t="shared" si="5"/>
        <v>4916.666666666667</v>
      </c>
      <c r="L42" s="10">
        <f t="shared" si="5"/>
        <v>4916.666666666667</v>
      </c>
      <c r="M42" s="10">
        <f t="shared" si="5"/>
        <v>4916.666666666667</v>
      </c>
      <c r="N42" s="10">
        <f t="shared" si="5"/>
        <v>4916.666666666667</v>
      </c>
      <c r="O42" s="10">
        <f t="shared" si="5"/>
        <v>4916.666666666667</v>
      </c>
      <c r="P42" s="10">
        <f t="shared" si="5"/>
        <v>4916.666666666667</v>
      </c>
      <c r="Q42" s="10">
        <f t="shared" si="5"/>
        <v>4916.666666666667</v>
      </c>
      <c r="R42" s="10">
        <f t="shared" si="5"/>
        <v>4916.666666666667</v>
      </c>
      <c r="S42" s="10">
        <f t="shared" si="5"/>
        <v>4916.666666666667</v>
      </c>
    </row>
    <row r="43" spans="1:19" x14ac:dyDescent="0.3">
      <c r="A43" s="7" t="s">
        <v>7</v>
      </c>
      <c r="B43" s="7" t="s">
        <v>54</v>
      </c>
      <c r="C43" s="7" t="s">
        <v>57</v>
      </c>
      <c r="D43" s="8" t="s">
        <v>57</v>
      </c>
      <c r="E43" s="9" t="s">
        <v>10</v>
      </c>
      <c r="F43" s="10">
        <v>59000</v>
      </c>
      <c r="G43" s="10">
        <f t="shared" si="1"/>
        <v>58999.999999999993</v>
      </c>
      <c r="H43" s="11">
        <f t="shared" si="2"/>
        <v>4916.666666666667</v>
      </c>
      <c r="I43" s="10">
        <f t="shared" si="5"/>
        <v>4916.666666666667</v>
      </c>
      <c r="J43" s="10">
        <f t="shared" si="5"/>
        <v>4916.666666666667</v>
      </c>
      <c r="K43" s="10">
        <f t="shared" si="5"/>
        <v>4916.666666666667</v>
      </c>
      <c r="L43" s="10">
        <f t="shared" si="5"/>
        <v>4916.666666666667</v>
      </c>
      <c r="M43" s="10">
        <f t="shared" si="5"/>
        <v>4916.666666666667</v>
      </c>
      <c r="N43" s="10">
        <f t="shared" si="5"/>
        <v>4916.666666666667</v>
      </c>
      <c r="O43" s="10">
        <f t="shared" si="5"/>
        <v>4916.666666666667</v>
      </c>
      <c r="P43" s="10">
        <f t="shared" si="5"/>
        <v>4916.666666666667</v>
      </c>
      <c r="Q43" s="10">
        <f t="shared" si="5"/>
        <v>4916.666666666667</v>
      </c>
      <c r="R43" s="10">
        <f t="shared" si="5"/>
        <v>4916.666666666667</v>
      </c>
      <c r="S43" s="10">
        <f t="shared" si="5"/>
        <v>4916.666666666667</v>
      </c>
    </row>
    <row r="44" spans="1:19" ht="43.2" x14ac:dyDescent="0.3">
      <c r="A44" s="7" t="s">
        <v>7</v>
      </c>
      <c r="B44" s="7" t="s">
        <v>54</v>
      </c>
      <c r="C44" s="7" t="s">
        <v>58</v>
      </c>
      <c r="D44" s="8" t="s">
        <v>58</v>
      </c>
      <c r="E44" s="9" t="s">
        <v>10</v>
      </c>
      <c r="F44" s="10">
        <v>279232</v>
      </c>
      <c r="G44" s="10">
        <f t="shared" si="1"/>
        <v>279232.00000000006</v>
      </c>
      <c r="H44" s="11">
        <f t="shared" si="2"/>
        <v>23269.333333333332</v>
      </c>
      <c r="I44" s="10">
        <f t="shared" si="5"/>
        <v>23269.333333333332</v>
      </c>
      <c r="J44" s="10">
        <f t="shared" si="5"/>
        <v>23269.333333333332</v>
      </c>
      <c r="K44" s="10">
        <f t="shared" si="5"/>
        <v>23269.333333333332</v>
      </c>
      <c r="L44" s="10">
        <f t="shared" si="5"/>
        <v>23269.333333333332</v>
      </c>
      <c r="M44" s="10">
        <f t="shared" si="5"/>
        <v>23269.333333333332</v>
      </c>
      <c r="N44" s="10">
        <f t="shared" si="5"/>
        <v>23269.333333333332</v>
      </c>
      <c r="O44" s="10">
        <f t="shared" si="5"/>
        <v>23269.333333333332</v>
      </c>
      <c r="P44" s="10">
        <f t="shared" si="5"/>
        <v>23269.333333333332</v>
      </c>
      <c r="Q44" s="10">
        <f t="shared" si="5"/>
        <v>23269.333333333332</v>
      </c>
      <c r="R44" s="10">
        <f t="shared" si="5"/>
        <v>23269.333333333332</v>
      </c>
      <c r="S44" s="10">
        <f t="shared" si="5"/>
        <v>23269.333333333332</v>
      </c>
    </row>
    <row r="45" spans="1:19" ht="43.2" x14ac:dyDescent="0.3">
      <c r="A45" s="7" t="s">
        <v>7</v>
      </c>
      <c r="B45" s="7" t="s">
        <v>54</v>
      </c>
      <c r="C45" s="7" t="s">
        <v>59</v>
      </c>
      <c r="D45" s="8" t="s">
        <v>59</v>
      </c>
      <c r="E45" s="9" t="s">
        <v>10</v>
      </c>
      <c r="F45" s="10">
        <v>27568</v>
      </c>
      <c r="G45" s="10">
        <f t="shared" si="1"/>
        <v>27567.999999999996</v>
      </c>
      <c r="H45" s="11">
        <f t="shared" si="2"/>
        <v>2297.3333333333335</v>
      </c>
      <c r="I45" s="10">
        <f t="shared" si="5"/>
        <v>2297.3333333333335</v>
      </c>
      <c r="J45" s="10">
        <f t="shared" si="5"/>
        <v>2297.3333333333335</v>
      </c>
      <c r="K45" s="10">
        <f t="shared" si="5"/>
        <v>2297.3333333333335</v>
      </c>
      <c r="L45" s="10">
        <f t="shared" si="5"/>
        <v>2297.3333333333335</v>
      </c>
      <c r="M45" s="10">
        <f t="shared" si="5"/>
        <v>2297.3333333333335</v>
      </c>
      <c r="N45" s="10">
        <f t="shared" si="5"/>
        <v>2297.3333333333335</v>
      </c>
      <c r="O45" s="10">
        <f t="shared" si="5"/>
        <v>2297.3333333333335</v>
      </c>
      <c r="P45" s="10">
        <f t="shared" si="5"/>
        <v>2297.3333333333335</v>
      </c>
      <c r="Q45" s="10">
        <f t="shared" si="5"/>
        <v>2297.3333333333335</v>
      </c>
      <c r="R45" s="10">
        <f t="shared" si="5"/>
        <v>2297.3333333333335</v>
      </c>
      <c r="S45" s="10">
        <f t="shared" si="5"/>
        <v>2297.3333333333335</v>
      </c>
    </row>
    <row r="46" spans="1:19" ht="28.8" x14ac:dyDescent="0.3">
      <c r="A46" s="7" t="s">
        <v>7</v>
      </c>
      <c r="B46" s="7" t="s">
        <v>54</v>
      </c>
      <c r="C46" s="7" t="s">
        <v>60</v>
      </c>
      <c r="D46" s="8" t="s">
        <v>60</v>
      </c>
      <c r="E46" s="9" t="s">
        <v>10</v>
      </c>
      <c r="F46" s="10">
        <v>29500</v>
      </c>
      <c r="G46" s="10">
        <f t="shared" si="1"/>
        <v>29499.999999999996</v>
      </c>
      <c r="H46" s="11">
        <f t="shared" si="2"/>
        <v>2458.3333333333335</v>
      </c>
      <c r="I46" s="10">
        <f t="shared" si="5"/>
        <v>2458.3333333333335</v>
      </c>
      <c r="J46" s="10">
        <f t="shared" si="5"/>
        <v>2458.3333333333335</v>
      </c>
      <c r="K46" s="10">
        <f t="shared" si="5"/>
        <v>2458.3333333333335</v>
      </c>
      <c r="L46" s="10">
        <f t="shared" si="5"/>
        <v>2458.3333333333335</v>
      </c>
      <c r="M46" s="10">
        <f t="shared" si="5"/>
        <v>2458.3333333333335</v>
      </c>
      <c r="N46" s="10">
        <f t="shared" si="5"/>
        <v>2458.3333333333335</v>
      </c>
      <c r="O46" s="10">
        <f t="shared" si="5"/>
        <v>2458.3333333333335</v>
      </c>
      <c r="P46" s="10">
        <f t="shared" si="5"/>
        <v>2458.3333333333335</v>
      </c>
      <c r="Q46" s="10">
        <f t="shared" si="5"/>
        <v>2458.3333333333335</v>
      </c>
      <c r="R46" s="10">
        <f t="shared" si="5"/>
        <v>2458.3333333333335</v>
      </c>
      <c r="S46" s="10">
        <f t="shared" si="5"/>
        <v>2458.3333333333335</v>
      </c>
    </row>
    <row r="47" spans="1:19" ht="57.6" x14ac:dyDescent="0.3">
      <c r="A47" s="7" t="s">
        <v>7</v>
      </c>
      <c r="B47" s="7" t="s">
        <v>54</v>
      </c>
      <c r="C47" s="7" t="s">
        <v>61</v>
      </c>
      <c r="D47" s="8" t="s">
        <v>61</v>
      </c>
      <c r="E47" s="9" t="s">
        <v>10</v>
      </c>
      <c r="F47" s="10">
        <v>118000</v>
      </c>
      <c r="G47" s="10">
        <f t="shared" si="1"/>
        <v>117999.99999999999</v>
      </c>
      <c r="H47" s="11">
        <f t="shared" si="2"/>
        <v>9833.3333333333339</v>
      </c>
      <c r="I47" s="10">
        <f t="shared" si="5"/>
        <v>9833.3333333333339</v>
      </c>
      <c r="J47" s="10">
        <f t="shared" si="5"/>
        <v>9833.3333333333339</v>
      </c>
      <c r="K47" s="10">
        <f t="shared" si="5"/>
        <v>9833.3333333333339</v>
      </c>
      <c r="L47" s="10">
        <f t="shared" si="5"/>
        <v>9833.3333333333339</v>
      </c>
      <c r="M47" s="10">
        <f t="shared" si="5"/>
        <v>9833.3333333333339</v>
      </c>
      <c r="N47" s="10">
        <f t="shared" si="5"/>
        <v>9833.3333333333339</v>
      </c>
      <c r="O47" s="10">
        <f t="shared" si="5"/>
        <v>9833.3333333333339</v>
      </c>
      <c r="P47" s="10">
        <f t="shared" si="5"/>
        <v>9833.3333333333339</v>
      </c>
      <c r="Q47" s="10">
        <f t="shared" si="5"/>
        <v>9833.3333333333339</v>
      </c>
      <c r="R47" s="10">
        <f t="shared" si="5"/>
        <v>9833.3333333333339</v>
      </c>
      <c r="S47" s="10">
        <f t="shared" si="5"/>
        <v>9833.3333333333339</v>
      </c>
    </row>
    <row r="48" spans="1:19" ht="72" x14ac:dyDescent="0.3">
      <c r="A48" s="7" t="s">
        <v>7</v>
      </c>
      <c r="B48" s="7" t="s">
        <v>54</v>
      </c>
      <c r="C48" s="7" t="s">
        <v>62</v>
      </c>
      <c r="D48" s="8" t="s">
        <v>62</v>
      </c>
      <c r="E48" s="9" t="s">
        <v>10</v>
      </c>
      <c r="F48" s="10">
        <v>295000</v>
      </c>
      <c r="G48" s="10">
        <f t="shared" si="1"/>
        <v>295000</v>
      </c>
      <c r="H48" s="11">
        <f t="shared" si="2"/>
        <v>24583.333333333332</v>
      </c>
      <c r="I48" s="10">
        <f t="shared" si="5"/>
        <v>24583.333333333332</v>
      </c>
      <c r="J48" s="10">
        <f t="shared" si="5"/>
        <v>24583.333333333332</v>
      </c>
      <c r="K48" s="10">
        <f t="shared" si="5"/>
        <v>24583.333333333332</v>
      </c>
      <c r="L48" s="10">
        <f t="shared" si="5"/>
        <v>24583.333333333332</v>
      </c>
      <c r="M48" s="10">
        <f t="shared" si="5"/>
        <v>24583.333333333332</v>
      </c>
      <c r="N48" s="10">
        <f t="shared" si="5"/>
        <v>24583.333333333332</v>
      </c>
      <c r="O48" s="10">
        <f t="shared" si="5"/>
        <v>24583.333333333332</v>
      </c>
      <c r="P48" s="10">
        <f t="shared" si="5"/>
        <v>24583.333333333332</v>
      </c>
      <c r="Q48" s="10">
        <f t="shared" si="5"/>
        <v>24583.333333333332</v>
      </c>
      <c r="R48" s="10">
        <f t="shared" si="5"/>
        <v>24583.333333333332</v>
      </c>
      <c r="S48" s="10">
        <f t="shared" si="5"/>
        <v>24583.333333333332</v>
      </c>
    </row>
    <row r="49" spans="1:19" ht="100.8" x14ac:dyDescent="0.3">
      <c r="A49" s="7" t="s">
        <v>7</v>
      </c>
      <c r="B49" s="7" t="s">
        <v>54</v>
      </c>
      <c r="C49" s="7" t="s">
        <v>63</v>
      </c>
      <c r="D49" s="8" t="s">
        <v>63</v>
      </c>
      <c r="E49" s="9" t="s">
        <v>10</v>
      </c>
      <c r="F49" s="10">
        <v>56639.999999999993</v>
      </c>
      <c r="G49" s="10">
        <f t="shared" si="1"/>
        <v>56639.999999999993</v>
      </c>
      <c r="H49" s="11">
        <f t="shared" si="2"/>
        <v>4719.9999999999991</v>
      </c>
      <c r="I49" s="10">
        <f t="shared" si="5"/>
        <v>4719.9999999999991</v>
      </c>
      <c r="J49" s="10">
        <f t="shared" si="5"/>
        <v>4719.9999999999991</v>
      </c>
      <c r="K49" s="10">
        <f t="shared" si="5"/>
        <v>4719.9999999999991</v>
      </c>
      <c r="L49" s="10">
        <f t="shared" si="5"/>
        <v>4719.9999999999991</v>
      </c>
      <c r="M49" s="10">
        <f t="shared" si="5"/>
        <v>4719.9999999999991</v>
      </c>
      <c r="N49" s="10">
        <f t="shared" si="5"/>
        <v>4719.9999999999991</v>
      </c>
      <c r="O49" s="10">
        <f t="shared" si="5"/>
        <v>4719.9999999999991</v>
      </c>
      <c r="P49" s="10">
        <f t="shared" si="5"/>
        <v>4719.9999999999991</v>
      </c>
      <c r="Q49" s="10">
        <f t="shared" si="5"/>
        <v>4719.9999999999991</v>
      </c>
      <c r="R49" s="10">
        <f t="shared" si="5"/>
        <v>4719.9999999999991</v>
      </c>
      <c r="S49" s="10">
        <f t="shared" si="5"/>
        <v>4719.9999999999991</v>
      </c>
    </row>
    <row r="50" spans="1:19" ht="172.8" x14ac:dyDescent="0.3">
      <c r="A50" s="7" t="s">
        <v>7</v>
      </c>
      <c r="B50" s="7" t="s">
        <v>54</v>
      </c>
      <c r="C50" s="7" t="s">
        <v>64</v>
      </c>
      <c r="D50" s="8" t="s">
        <v>64</v>
      </c>
      <c r="E50" s="9" t="s">
        <v>10</v>
      </c>
      <c r="F50" s="10">
        <v>70800</v>
      </c>
      <c r="G50" s="10">
        <f t="shared" si="1"/>
        <v>70800</v>
      </c>
      <c r="H50" s="11">
        <f t="shared" si="2"/>
        <v>5900</v>
      </c>
      <c r="I50" s="10">
        <f t="shared" si="5"/>
        <v>5900</v>
      </c>
      <c r="J50" s="10">
        <f t="shared" si="5"/>
        <v>5900</v>
      </c>
      <c r="K50" s="10">
        <f t="shared" si="5"/>
        <v>5900</v>
      </c>
      <c r="L50" s="10">
        <f t="shared" si="5"/>
        <v>5900</v>
      </c>
      <c r="M50" s="10">
        <f t="shared" si="5"/>
        <v>5900</v>
      </c>
      <c r="N50" s="10">
        <f t="shared" si="5"/>
        <v>5900</v>
      </c>
      <c r="O50" s="10">
        <f t="shared" si="5"/>
        <v>5900</v>
      </c>
      <c r="P50" s="10">
        <f t="shared" si="5"/>
        <v>5900</v>
      </c>
      <c r="Q50" s="10">
        <f t="shared" si="5"/>
        <v>5900</v>
      </c>
      <c r="R50" s="10">
        <f t="shared" si="5"/>
        <v>5900</v>
      </c>
      <c r="S50" s="10">
        <f t="shared" si="5"/>
        <v>5900</v>
      </c>
    </row>
    <row r="51" spans="1:19" ht="43.2" x14ac:dyDescent="0.3">
      <c r="A51" s="7" t="s">
        <v>7</v>
      </c>
      <c r="B51" s="7" t="s">
        <v>54</v>
      </c>
      <c r="C51" s="7" t="s">
        <v>65</v>
      </c>
      <c r="D51" s="8" t="s">
        <v>65</v>
      </c>
      <c r="E51" s="9" t="s">
        <v>10</v>
      </c>
      <c r="F51" s="10">
        <v>1321128</v>
      </c>
      <c r="G51" s="10">
        <f t="shared" si="1"/>
        <v>1321128</v>
      </c>
      <c r="H51" s="11">
        <f t="shared" si="2"/>
        <v>110094</v>
      </c>
      <c r="I51" s="10">
        <f t="shared" ref="I51:S66" si="6">H51</f>
        <v>110094</v>
      </c>
      <c r="J51" s="10">
        <f t="shared" si="6"/>
        <v>110094</v>
      </c>
      <c r="K51" s="10">
        <f t="shared" si="6"/>
        <v>110094</v>
      </c>
      <c r="L51" s="10">
        <f t="shared" si="6"/>
        <v>110094</v>
      </c>
      <c r="M51" s="10">
        <f t="shared" si="6"/>
        <v>110094</v>
      </c>
      <c r="N51" s="10">
        <f t="shared" si="6"/>
        <v>110094</v>
      </c>
      <c r="O51" s="10">
        <f t="shared" si="6"/>
        <v>110094</v>
      </c>
      <c r="P51" s="10">
        <f t="shared" si="6"/>
        <v>110094</v>
      </c>
      <c r="Q51" s="10">
        <f t="shared" si="6"/>
        <v>110094</v>
      </c>
      <c r="R51" s="10">
        <f t="shared" si="6"/>
        <v>110094</v>
      </c>
      <c r="S51" s="10">
        <f t="shared" si="6"/>
        <v>110094</v>
      </c>
    </row>
    <row r="52" spans="1:19" x14ac:dyDescent="0.3">
      <c r="A52" s="7" t="s">
        <v>7</v>
      </c>
      <c r="B52" s="7" t="s">
        <v>54</v>
      </c>
      <c r="C52" s="7" t="s">
        <v>66</v>
      </c>
      <c r="D52" s="7" t="s">
        <v>66</v>
      </c>
      <c r="E52" s="9" t="s">
        <v>10</v>
      </c>
      <c r="F52" s="10">
        <v>2606069</v>
      </c>
      <c r="G52" s="10">
        <f t="shared" si="1"/>
        <v>2606069</v>
      </c>
      <c r="H52" s="11">
        <f t="shared" si="2"/>
        <v>217172.41666666666</v>
      </c>
      <c r="I52" s="10">
        <f t="shared" si="6"/>
        <v>217172.41666666666</v>
      </c>
      <c r="J52" s="10">
        <f t="shared" si="6"/>
        <v>217172.41666666666</v>
      </c>
      <c r="K52" s="10">
        <f t="shared" si="6"/>
        <v>217172.41666666666</v>
      </c>
      <c r="L52" s="10">
        <f t="shared" si="6"/>
        <v>217172.41666666666</v>
      </c>
      <c r="M52" s="10">
        <f t="shared" si="6"/>
        <v>217172.41666666666</v>
      </c>
      <c r="N52" s="10">
        <f t="shared" si="6"/>
        <v>217172.41666666666</v>
      </c>
      <c r="O52" s="10">
        <f t="shared" si="6"/>
        <v>217172.41666666666</v>
      </c>
      <c r="P52" s="10">
        <f t="shared" si="6"/>
        <v>217172.41666666666</v>
      </c>
      <c r="Q52" s="10">
        <f t="shared" si="6"/>
        <v>217172.41666666666</v>
      </c>
      <c r="R52" s="10">
        <f t="shared" si="6"/>
        <v>217172.41666666666</v>
      </c>
      <c r="S52" s="10">
        <f t="shared" si="6"/>
        <v>217172.41666666666</v>
      </c>
    </row>
    <row r="53" spans="1:19" ht="57.6" x14ac:dyDescent="0.3">
      <c r="A53" s="7" t="s">
        <v>7</v>
      </c>
      <c r="B53" s="7" t="s">
        <v>54</v>
      </c>
      <c r="C53" s="7" t="s">
        <v>67</v>
      </c>
      <c r="D53" s="8" t="s">
        <v>67</v>
      </c>
      <c r="E53" s="9" t="s">
        <v>10</v>
      </c>
      <c r="F53" s="10">
        <v>1416000</v>
      </c>
      <c r="G53" s="10">
        <f t="shared" si="1"/>
        <v>1416000</v>
      </c>
      <c r="H53" s="11">
        <f t="shared" si="2"/>
        <v>118000</v>
      </c>
      <c r="I53" s="10">
        <f t="shared" si="6"/>
        <v>118000</v>
      </c>
      <c r="J53" s="10">
        <f t="shared" si="6"/>
        <v>118000</v>
      </c>
      <c r="K53" s="10">
        <f t="shared" si="6"/>
        <v>118000</v>
      </c>
      <c r="L53" s="10">
        <f t="shared" si="6"/>
        <v>118000</v>
      </c>
      <c r="M53" s="10">
        <f t="shared" si="6"/>
        <v>118000</v>
      </c>
      <c r="N53" s="10">
        <f t="shared" si="6"/>
        <v>118000</v>
      </c>
      <c r="O53" s="10">
        <f t="shared" si="6"/>
        <v>118000</v>
      </c>
      <c r="P53" s="10">
        <f t="shared" si="6"/>
        <v>118000</v>
      </c>
      <c r="Q53" s="10">
        <f t="shared" si="6"/>
        <v>118000</v>
      </c>
      <c r="R53" s="10">
        <f t="shared" si="6"/>
        <v>118000</v>
      </c>
      <c r="S53" s="10">
        <f t="shared" si="6"/>
        <v>118000</v>
      </c>
    </row>
    <row r="54" spans="1:19" ht="43.2" x14ac:dyDescent="0.3">
      <c r="A54" s="7" t="s">
        <v>7</v>
      </c>
      <c r="B54" s="7" t="s">
        <v>54</v>
      </c>
      <c r="C54" s="7" t="s">
        <v>68</v>
      </c>
      <c r="D54" s="8" t="s">
        <v>68</v>
      </c>
      <c r="E54" s="9" t="s">
        <v>10</v>
      </c>
      <c r="F54" s="10">
        <v>590000</v>
      </c>
      <c r="G54" s="10">
        <f t="shared" si="1"/>
        <v>590000</v>
      </c>
      <c r="H54" s="11">
        <f t="shared" si="2"/>
        <v>49166.666666666664</v>
      </c>
      <c r="I54" s="10">
        <f t="shared" si="6"/>
        <v>49166.666666666664</v>
      </c>
      <c r="J54" s="10">
        <f t="shared" si="6"/>
        <v>49166.666666666664</v>
      </c>
      <c r="K54" s="10">
        <f t="shared" si="6"/>
        <v>49166.666666666664</v>
      </c>
      <c r="L54" s="10">
        <f t="shared" si="6"/>
        <v>49166.666666666664</v>
      </c>
      <c r="M54" s="10">
        <f t="shared" si="6"/>
        <v>49166.666666666664</v>
      </c>
      <c r="N54" s="10">
        <f t="shared" si="6"/>
        <v>49166.666666666664</v>
      </c>
      <c r="O54" s="10">
        <f t="shared" si="6"/>
        <v>49166.666666666664</v>
      </c>
      <c r="P54" s="10">
        <f t="shared" si="6"/>
        <v>49166.666666666664</v>
      </c>
      <c r="Q54" s="10">
        <f t="shared" si="6"/>
        <v>49166.666666666664</v>
      </c>
      <c r="R54" s="10">
        <f t="shared" si="6"/>
        <v>49166.666666666664</v>
      </c>
      <c r="S54" s="10">
        <f t="shared" si="6"/>
        <v>49166.666666666664</v>
      </c>
    </row>
    <row r="55" spans="1:19" ht="72" x14ac:dyDescent="0.3">
      <c r="A55" s="7" t="s">
        <v>7</v>
      </c>
      <c r="B55" s="7" t="s">
        <v>54</v>
      </c>
      <c r="C55" s="7" t="s">
        <v>69</v>
      </c>
      <c r="D55" s="8" t="s">
        <v>69</v>
      </c>
      <c r="E55" s="9" t="s">
        <v>10</v>
      </c>
      <c r="F55" s="10">
        <v>65548.999999999985</v>
      </c>
      <c r="G55" s="10">
        <f t="shared" si="1"/>
        <v>65548.999999999985</v>
      </c>
      <c r="H55" s="11">
        <f t="shared" si="2"/>
        <v>5462.4166666666652</v>
      </c>
      <c r="I55" s="10">
        <f t="shared" si="6"/>
        <v>5462.4166666666652</v>
      </c>
      <c r="J55" s="10">
        <f t="shared" si="6"/>
        <v>5462.4166666666652</v>
      </c>
      <c r="K55" s="10">
        <f t="shared" si="6"/>
        <v>5462.4166666666652</v>
      </c>
      <c r="L55" s="10">
        <f t="shared" si="6"/>
        <v>5462.4166666666652</v>
      </c>
      <c r="M55" s="10">
        <f t="shared" si="6"/>
        <v>5462.4166666666652</v>
      </c>
      <c r="N55" s="10">
        <f t="shared" si="6"/>
        <v>5462.4166666666652</v>
      </c>
      <c r="O55" s="10">
        <f t="shared" si="6"/>
        <v>5462.4166666666652</v>
      </c>
      <c r="P55" s="10">
        <f t="shared" si="6"/>
        <v>5462.4166666666652</v>
      </c>
      <c r="Q55" s="10">
        <f t="shared" si="6"/>
        <v>5462.4166666666652</v>
      </c>
      <c r="R55" s="10">
        <f t="shared" si="6"/>
        <v>5462.4166666666652</v>
      </c>
      <c r="S55" s="10">
        <f t="shared" si="6"/>
        <v>5462.4166666666652</v>
      </c>
    </row>
    <row r="56" spans="1:19" ht="28.8" x14ac:dyDescent="0.3">
      <c r="A56" s="7" t="s">
        <v>7</v>
      </c>
      <c r="B56" s="7" t="s">
        <v>54</v>
      </c>
      <c r="C56" s="7" t="s">
        <v>70</v>
      </c>
      <c r="D56" s="8" t="s">
        <v>70</v>
      </c>
      <c r="E56" s="9" t="s">
        <v>10</v>
      </c>
      <c r="F56" s="10">
        <v>590000</v>
      </c>
      <c r="G56" s="10">
        <f t="shared" si="1"/>
        <v>590000</v>
      </c>
      <c r="H56" s="11">
        <f t="shared" si="2"/>
        <v>49166.666666666664</v>
      </c>
      <c r="I56" s="10">
        <f t="shared" si="6"/>
        <v>49166.666666666664</v>
      </c>
      <c r="J56" s="10">
        <f t="shared" si="6"/>
        <v>49166.666666666664</v>
      </c>
      <c r="K56" s="10">
        <f t="shared" si="6"/>
        <v>49166.666666666664</v>
      </c>
      <c r="L56" s="10">
        <f t="shared" si="6"/>
        <v>49166.666666666664</v>
      </c>
      <c r="M56" s="10">
        <f t="shared" si="6"/>
        <v>49166.666666666664</v>
      </c>
      <c r="N56" s="10">
        <f t="shared" si="6"/>
        <v>49166.666666666664</v>
      </c>
      <c r="O56" s="10">
        <f t="shared" si="6"/>
        <v>49166.666666666664</v>
      </c>
      <c r="P56" s="10">
        <f t="shared" si="6"/>
        <v>49166.666666666664</v>
      </c>
      <c r="Q56" s="10">
        <f t="shared" si="6"/>
        <v>49166.666666666664</v>
      </c>
      <c r="R56" s="10">
        <f t="shared" si="6"/>
        <v>49166.666666666664</v>
      </c>
      <c r="S56" s="10">
        <f t="shared" si="6"/>
        <v>49166.666666666664</v>
      </c>
    </row>
    <row r="57" spans="1:19" ht="43.2" x14ac:dyDescent="0.3">
      <c r="A57" s="7" t="s">
        <v>7</v>
      </c>
      <c r="B57" s="7" t="s">
        <v>54</v>
      </c>
      <c r="C57" s="7" t="s">
        <v>71</v>
      </c>
      <c r="D57" s="8" t="s">
        <v>71</v>
      </c>
      <c r="E57" s="9" t="s">
        <v>10</v>
      </c>
      <c r="F57" s="10">
        <v>23264880</v>
      </c>
      <c r="G57" s="10">
        <f t="shared" si="1"/>
        <v>23264880</v>
      </c>
      <c r="H57" s="11">
        <f t="shared" si="2"/>
        <v>1938740</v>
      </c>
      <c r="I57" s="10">
        <f t="shared" si="6"/>
        <v>1938740</v>
      </c>
      <c r="J57" s="10">
        <f t="shared" si="6"/>
        <v>1938740</v>
      </c>
      <c r="K57" s="10">
        <f t="shared" si="6"/>
        <v>1938740</v>
      </c>
      <c r="L57" s="10">
        <f t="shared" si="6"/>
        <v>1938740</v>
      </c>
      <c r="M57" s="10">
        <f t="shared" si="6"/>
        <v>1938740</v>
      </c>
      <c r="N57" s="10">
        <f t="shared" si="6"/>
        <v>1938740</v>
      </c>
      <c r="O57" s="10">
        <f t="shared" si="6"/>
        <v>1938740</v>
      </c>
      <c r="P57" s="10">
        <f t="shared" si="6"/>
        <v>1938740</v>
      </c>
      <c r="Q57" s="10">
        <f t="shared" si="6"/>
        <v>1938740</v>
      </c>
      <c r="R57" s="10">
        <f t="shared" si="6"/>
        <v>1938740</v>
      </c>
      <c r="S57" s="10">
        <f t="shared" si="6"/>
        <v>1938740</v>
      </c>
    </row>
    <row r="58" spans="1:19" x14ac:dyDescent="0.3">
      <c r="A58" s="7" t="s">
        <v>7</v>
      </c>
      <c r="B58" s="7" t="s">
        <v>54</v>
      </c>
      <c r="C58" s="13" t="s">
        <v>72</v>
      </c>
      <c r="D58" s="13" t="s">
        <v>72</v>
      </c>
      <c r="E58" s="9" t="s">
        <v>10</v>
      </c>
      <c r="F58" s="10">
        <v>5115181.9999999991</v>
      </c>
      <c r="G58" s="10">
        <f t="shared" si="1"/>
        <v>5115182</v>
      </c>
      <c r="H58" s="11">
        <f t="shared" si="2"/>
        <v>426265.16666666657</v>
      </c>
      <c r="I58" s="10">
        <f t="shared" si="6"/>
        <v>426265.16666666657</v>
      </c>
      <c r="J58" s="10">
        <f t="shared" si="6"/>
        <v>426265.16666666657</v>
      </c>
      <c r="K58" s="10">
        <f t="shared" si="6"/>
        <v>426265.16666666657</v>
      </c>
      <c r="L58" s="10">
        <f t="shared" si="6"/>
        <v>426265.16666666657</v>
      </c>
      <c r="M58" s="10">
        <f t="shared" si="6"/>
        <v>426265.16666666657</v>
      </c>
      <c r="N58" s="10">
        <f t="shared" si="6"/>
        <v>426265.16666666657</v>
      </c>
      <c r="O58" s="10">
        <f t="shared" si="6"/>
        <v>426265.16666666657</v>
      </c>
      <c r="P58" s="10">
        <f t="shared" si="6"/>
        <v>426265.16666666657</v>
      </c>
      <c r="Q58" s="10">
        <f t="shared" si="6"/>
        <v>426265.16666666657</v>
      </c>
      <c r="R58" s="10">
        <f t="shared" si="6"/>
        <v>426265.16666666657</v>
      </c>
      <c r="S58" s="10">
        <f t="shared" si="6"/>
        <v>426265.16666666657</v>
      </c>
    </row>
    <row r="59" spans="1:19" x14ac:dyDescent="0.3">
      <c r="A59" s="7" t="s">
        <v>7</v>
      </c>
      <c r="B59" s="7" t="s">
        <v>54</v>
      </c>
      <c r="C59" s="7" t="s">
        <v>73</v>
      </c>
      <c r="D59" s="8" t="s">
        <v>73</v>
      </c>
      <c r="E59" s="9" t="s">
        <v>10</v>
      </c>
      <c r="F59" s="10">
        <v>12532000</v>
      </c>
      <c r="G59" s="10">
        <f t="shared" si="1"/>
        <v>12532000.000000002</v>
      </c>
      <c r="H59" s="11">
        <f t="shared" si="2"/>
        <v>1044333.3333333334</v>
      </c>
      <c r="I59" s="10">
        <f t="shared" si="6"/>
        <v>1044333.3333333334</v>
      </c>
      <c r="J59" s="10">
        <f t="shared" si="6"/>
        <v>1044333.3333333334</v>
      </c>
      <c r="K59" s="10">
        <f t="shared" si="6"/>
        <v>1044333.3333333334</v>
      </c>
      <c r="L59" s="10">
        <f t="shared" si="6"/>
        <v>1044333.3333333334</v>
      </c>
      <c r="M59" s="10">
        <f t="shared" si="6"/>
        <v>1044333.3333333334</v>
      </c>
      <c r="N59" s="10">
        <f t="shared" si="6"/>
        <v>1044333.3333333334</v>
      </c>
      <c r="O59" s="10">
        <f t="shared" si="6"/>
        <v>1044333.3333333334</v>
      </c>
      <c r="P59" s="10">
        <f t="shared" si="6"/>
        <v>1044333.3333333334</v>
      </c>
      <c r="Q59" s="10">
        <f t="shared" si="6"/>
        <v>1044333.3333333334</v>
      </c>
      <c r="R59" s="10">
        <f t="shared" si="6"/>
        <v>1044333.3333333334</v>
      </c>
      <c r="S59" s="10">
        <f t="shared" si="6"/>
        <v>1044333.3333333334</v>
      </c>
    </row>
    <row r="60" spans="1:19" ht="28.8" x14ac:dyDescent="0.3">
      <c r="A60" s="7" t="s">
        <v>7</v>
      </c>
      <c r="B60" s="7" t="s">
        <v>74</v>
      </c>
      <c r="C60" s="7" t="s">
        <v>75</v>
      </c>
      <c r="D60" s="8" t="s">
        <v>75</v>
      </c>
      <c r="E60" s="9" t="s">
        <v>10</v>
      </c>
      <c r="F60" s="10">
        <v>16870200</v>
      </c>
      <c r="G60" s="10">
        <f t="shared" si="1"/>
        <v>16870200</v>
      </c>
      <c r="H60" s="11">
        <f t="shared" si="2"/>
        <v>1405850</v>
      </c>
      <c r="I60" s="10">
        <f t="shared" si="6"/>
        <v>1405850</v>
      </c>
      <c r="J60" s="10">
        <f t="shared" si="6"/>
        <v>1405850</v>
      </c>
      <c r="K60" s="10">
        <f t="shared" si="6"/>
        <v>1405850</v>
      </c>
      <c r="L60" s="10">
        <f t="shared" si="6"/>
        <v>1405850</v>
      </c>
      <c r="M60" s="10">
        <f t="shared" si="6"/>
        <v>1405850</v>
      </c>
      <c r="N60" s="10">
        <f t="shared" si="6"/>
        <v>1405850</v>
      </c>
      <c r="O60" s="10">
        <f t="shared" si="6"/>
        <v>1405850</v>
      </c>
      <c r="P60" s="10">
        <f t="shared" si="6"/>
        <v>1405850</v>
      </c>
      <c r="Q60" s="10">
        <f t="shared" si="6"/>
        <v>1405850</v>
      </c>
      <c r="R60" s="10">
        <f t="shared" si="6"/>
        <v>1405850</v>
      </c>
      <c r="S60" s="10">
        <f t="shared" si="6"/>
        <v>1405850</v>
      </c>
    </row>
    <row r="61" spans="1:19" ht="43.2" x14ac:dyDescent="0.3">
      <c r="A61" s="7" t="s">
        <v>7</v>
      </c>
      <c r="B61" s="7" t="s">
        <v>74</v>
      </c>
      <c r="C61" s="7" t="s">
        <v>76</v>
      </c>
      <c r="D61" s="8" t="s">
        <v>76</v>
      </c>
      <c r="E61" s="9" t="s">
        <v>10</v>
      </c>
      <c r="F61" s="10">
        <v>831509.41999999993</v>
      </c>
      <c r="G61" s="10">
        <f t="shared" si="1"/>
        <v>831509.41999999993</v>
      </c>
      <c r="H61" s="11">
        <f t="shared" si="2"/>
        <v>69292.45166666666</v>
      </c>
      <c r="I61" s="10">
        <f t="shared" si="6"/>
        <v>69292.45166666666</v>
      </c>
      <c r="J61" s="10">
        <f t="shared" si="6"/>
        <v>69292.45166666666</v>
      </c>
      <c r="K61" s="10">
        <f t="shared" si="6"/>
        <v>69292.45166666666</v>
      </c>
      <c r="L61" s="10">
        <f t="shared" si="6"/>
        <v>69292.45166666666</v>
      </c>
      <c r="M61" s="10">
        <f t="shared" si="6"/>
        <v>69292.45166666666</v>
      </c>
      <c r="N61" s="10">
        <f t="shared" si="6"/>
        <v>69292.45166666666</v>
      </c>
      <c r="O61" s="10">
        <f t="shared" si="6"/>
        <v>69292.45166666666</v>
      </c>
      <c r="P61" s="10">
        <f t="shared" si="6"/>
        <v>69292.45166666666</v>
      </c>
      <c r="Q61" s="10">
        <f t="shared" si="6"/>
        <v>69292.45166666666</v>
      </c>
      <c r="R61" s="10">
        <f t="shared" si="6"/>
        <v>69292.45166666666</v>
      </c>
      <c r="S61" s="10">
        <f t="shared" si="6"/>
        <v>69292.45166666666</v>
      </c>
    </row>
    <row r="62" spans="1:19" ht="57.6" x14ac:dyDescent="0.3">
      <c r="A62" s="7" t="s">
        <v>7</v>
      </c>
      <c r="B62" s="7" t="s">
        <v>74</v>
      </c>
      <c r="C62" s="7" t="s">
        <v>77</v>
      </c>
      <c r="D62" s="8" t="s">
        <v>77</v>
      </c>
      <c r="E62" s="9" t="s">
        <v>10</v>
      </c>
      <c r="F62" s="10">
        <v>236000</v>
      </c>
      <c r="G62" s="10">
        <f t="shared" si="1"/>
        <v>235999.99999999997</v>
      </c>
      <c r="H62" s="11">
        <f t="shared" si="2"/>
        <v>19666.666666666668</v>
      </c>
      <c r="I62" s="10">
        <f t="shared" si="6"/>
        <v>19666.666666666668</v>
      </c>
      <c r="J62" s="10">
        <f t="shared" si="6"/>
        <v>19666.666666666668</v>
      </c>
      <c r="K62" s="10">
        <f t="shared" si="6"/>
        <v>19666.666666666668</v>
      </c>
      <c r="L62" s="10">
        <f t="shared" si="6"/>
        <v>19666.666666666668</v>
      </c>
      <c r="M62" s="10">
        <f t="shared" si="6"/>
        <v>19666.666666666668</v>
      </c>
      <c r="N62" s="10">
        <f t="shared" si="6"/>
        <v>19666.666666666668</v>
      </c>
      <c r="O62" s="10">
        <f t="shared" si="6"/>
        <v>19666.666666666668</v>
      </c>
      <c r="P62" s="10">
        <f t="shared" si="6"/>
        <v>19666.666666666668</v>
      </c>
      <c r="Q62" s="10">
        <f t="shared" si="6"/>
        <v>19666.666666666668</v>
      </c>
      <c r="R62" s="10">
        <f t="shared" si="6"/>
        <v>19666.666666666668</v>
      </c>
      <c r="S62" s="10">
        <f t="shared" si="6"/>
        <v>19666.666666666668</v>
      </c>
    </row>
    <row r="63" spans="1:19" ht="57.6" x14ac:dyDescent="0.3">
      <c r="A63" s="7" t="s">
        <v>7</v>
      </c>
      <c r="B63" s="7" t="s">
        <v>74</v>
      </c>
      <c r="C63" s="7" t="s">
        <v>78</v>
      </c>
      <c r="D63" s="8" t="s">
        <v>78</v>
      </c>
      <c r="E63" s="9" t="s">
        <v>10</v>
      </c>
      <c r="F63" s="10">
        <v>70000</v>
      </c>
      <c r="G63" s="10">
        <f t="shared" si="1"/>
        <v>70000.000000000015</v>
      </c>
      <c r="H63" s="11">
        <f t="shared" si="2"/>
        <v>5833.333333333333</v>
      </c>
      <c r="I63" s="10">
        <f t="shared" si="6"/>
        <v>5833.333333333333</v>
      </c>
      <c r="J63" s="10">
        <f t="shared" si="6"/>
        <v>5833.333333333333</v>
      </c>
      <c r="K63" s="10">
        <f t="shared" si="6"/>
        <v>5833.333333333333</v>
      </c>
      <c r="L63" s="10">
        <f t="shared" si="6"/>
        <v>5833.333333333333</v>
      </c>
      <c r="M63" s="10">
        <f t="shared" si="6"/>
        <v>5833.333333333333</v>
      </c>
      <c r="N63" s="10">
        <f t="shared" si="6"/>
        <v>5833.333333333333</v>
      </c>
      <c r="O63" s="10">
        <f t="shared" si="6"/>
        <v>5833.333333333333</v>
      </c>
      <c r="P63" s="10">
        <f t="shared" si="6"/>
        <v>5833.333333333333</v>
      </c>
      <c r="Q63" s="10">
        <f t="shared" si="6"/>
        <v>5833.333333333333</v>
      </c>
      <c r="R63" s="10">
        <f t="shared" si="6"/>
        <v>5833.333333333333</v>
      </c>
      <c r="S63" s="10">
        <f t="shared" si="6"/>
        <v>5833.333333333333</v>
      </c>
    </row>
    <row r="64" spans="1:19" ht="57.6" x14ac:dyDescent="0.3">
      <c r="A64" s="7" t="s">
        <v>7</v>
      </c>
      <c r="B64" s="7" t="s">
        <v>74</v>
      </c>
      <c r="C64" s="7" t="s">
        <v>79</v>
      </c>
      <c r="D64" s="8" t="s">
        <v>79</v>
      </c>
      <c r="E64" s="9" t="s">
        <v>10</v>
      </c>
      <c r="F64" s="10">
        <v>177000</v>
      </c>
      <c r="G64" s="10">
        <f t="shared" si="1"/>
        <v>177000</v>
      </c>
      <c r="H64" s="11">
        <f t="shared" si="2"/>
        <v>14750</v>
      </c>
      <c r="I64" s="10">
        <f t="shared" si="6"/>
        <v>14750</v>
      </c>
      <c r="J64" s="10">
        <f t="shared" si="6"/>
        <v>14750</v>
      </c>
      <c r="K64" s="10">
        <f t="shared" si="6"/>
        <v>14750</v>
      </c>
      <c r="L64" s="10">
        <f t="shared" si="6"/>
        <v>14750</v>
      </c>
      <c r="M64" s="10">
        <f t="shared" si="6"/>
        <v>14750</v>
      </c>
      <c r="N64" s="10">
        <f t="shared" si="6"/>
        <v>14750</v>
      </c>
      <c r="O64" s="10">
        <f t="shared" si="6"/>
        <v>14750</v>
      </c>
      <c r="P64" s="10">
        <f t="shared" si="6"/>
        <v>14750</v>
      </c>
      <c r="Q64" s="10">
        <f t="shared" si="6"/>
        <v>14750</v>
      </c>
      <c r="R64" s="10">
        <f t="shared" si="6"/>
        <v>14750</v>
      </c>
      <c r="S64" s="10">
        <f t="shared" si="6"/>
        <v>14750</v>
      </c>
    </row>
    <row r="65" spans="1:19" ht="28.8" x14ac:dyDescent="0.3">
      <c r="A65" s="7" t="s">
        <v>7</v>
      </c>
      <c r="B65" s="7" t="s">
        <v>74</v>
      </c>
      <c r="C65" s="7" t="s">
        <v>80</v>
      </c>
      <c r="D65" s="8" t="s">
        <v>80</v>
      </c>
      <c r="E65" s="9" t="s">
        <v>10</v>
      </c>
      <c r="F65" s="10">
        <v>460199.99999999994</v>
      </c>
      <c r="G65" s="10">
        <f t="shared" si="1"/>
        <v>460199.99999999994</v>
      </c>
      <c r="H65" s="11">
        <f t="shared" si="2"/>
        <v>38349.999999999993</v>
      </c>
      <c r="I65" s="10">
        <f t="shared" si="6"/>
        <v>38349.999999999993</v>
      </c>
      <c r="J65" s="10">
        <f t="shared" si="6"/>
        <v>38349.999999999993</v>
      </c>
      <c r="K65" s="10">
        <f t="shared" si="6"/>
        <v>38349.999999999993</v>
      </c>
      <c r="L65" s="10">
        <f t="shared" si="6"/>
        <v>38349.999999999993</v>
      </c>
      <c r="M65" s="10">
        <f t="shared" si="6"/>
        <v>38349.999999999993</v>
      </c>
      <c r="N65" s="10">
        <f t="shared" si="6"/>
        <v>38349.999999999993</v>
      </c>
      <c r="O65" s="10">
        <f t="shared" si="6"/>
        <v>38349.999999999993</v>
      </c>
      <c r="P65" s="10">
        <f t="shared" si="6"/>
        <v>38349.999999999993</v>
      </c>
      <c r="Q65" s="10">
        <f t="shared" si="6"/>
        <v>38349.999999999993</v>
      </c>
      <c r="R65" s="10">
        <f t="shared" si="6"/>
        <v>38349.999999999993</v>
      </c>
      <c r="S65" s="10">
        <f t="shared" si="6"/>
        <v>38349.999999999993</v>
      </c>
    </row>
    <row r="66" spans="1:19" ht="43.2" x14ac:dyDescent="0.3">
      <c r="A66" s="7" t="s">
        <v>7</v>
      </c>
      <c r="B66" s="7" t="s">
        <v>74</v>
      </c>
      <c r="C66" s="7" t="s">
        <v>81</v>
      </c>
      <c r="D66" s="8" t="s">
        <v>81</v>
      </c>
      <c r="E66" s="9" t="s">
        <v>10</v>
      </c>
      <c r="F66" s="10">
        <v>43132.374799999998</v>
      </c>
      <c r="G66" s="10">
        <f t="shared" si="1"/>
        <v>43132.374799999991</v>
      </c>
      <c r="H66" s="11">
        <f t="shared" si="2"/>
        <v>3594.3645666666666</v>
      </c>
      <c r="I66" s="10">
        <f t="shared" si="6"/>
        <v>3594.3645666666666</v>
      </c>
      <c r="J66" s="10">
        <f t="shared" si="6"/>
        <v>3594.3645666666666</v>
      </c>
      <c r="K66" s="10">
        <f t="shared" si="6"/>
        <v>3594.3645666666666</v>
      </c>
      <c r="L66" s="10">
        <f t="shared" si="6"/>
        <v>3594.3645666666666</v>
      </c>
      <c r="M66" s="10">
        <f t="shared" si="6"/>
        <v>3594.3645666666666</v>
      </c>
      <c r="N66" s="10">
        <f t="shared" si="6"/>
        <v>3594.3645666666666</v>
      </c>
      <c r="O66" s="10">
        <f t="shared" si="6"/>
        <v>3594.3645666666666</v>
      </c>
      <c r="P66" s="10">
        <f t="shared" si="6"/>
        <v>3594.3645666666666</v>
      </c>
      <c r="Q66" s="10">
        <f t="shared" si="6"/>
        <v>3594.3645666666666</v>
      </c>
      <c r="R66" s="10">
        <f t="shared" si="6"/>
        <v>3594.3645666666666</v>
      </c>
      <c r="S66" s="10">
        <f t="shared" si="6"/>
        <v>3594.3645666666666</v>
      </c>
    </row>
    <row r="67" spans="1:19" ht="43.2" x14ac:dyDescent="0.3">
      <c r="A67" s="7" t="s">
        <v>7</v>
      </c>
      <c r="B67" s="7" t="s">
        <v>74</v>
      </c>
      <c r="C67" s="7" t="s">
        <v>82</v>
      </c>
      <c r="D67" s="8" t="s">
        <v>82</v>
      </c>
      <c r="E67" s="9" t="s">
        <v>10</v>
      </c>
      <c r="F67" s="10">
        <v>23600</v>
      </c>
      <c r="G67" s="10">
        <f t="shared" si="1"/>
        <v>23600.000000000004</v>
      </c>
      <c r="H67" s="11">
        <f t="shared" si="2"/>
        <v>1966.6666666666667</v>
      </c>
      <c r="I67" s="10">
        <f t="shared" ref="I67:S75" si="7">H67</f>
        <v>1966.6666666666667</v>
      </c>
      <c r="J67" s="10">
        <f t="shared" si="7"/>
        <v>1966.6666666666667</v>
      </c>
      <c r="K67" s="10">
        <f t="shared" si="7"/>
        <v>1966.6666666666667</v>
      </c>
      <c r="L67" s="10">
        <f t="shared" si="7"/>
        <v>1966.6666666666667</v>
      </c>
      <c r="M67" s="10">
        <f t="shared" si="7"/>
        <v>1966.6666666666667</v>
      </c>
      <c r="N67" s="10">
        <f t="shared" si="7"/>
        <v>1966.6666666666667</v>
      </c>
      <c r="O67" s="10">
        <f t="shared" si="7"/>
        <v>1966.6666666666667</v>
      </c>
      <c r="P67" s="10">
        <f t="shared" si="7"/>
        <v>1966.6666666666667</v>
      </c>
      <c r="Q67" s="10">
        <f t="shared" si="7"/>
        <v>1966.6666666666667</v>
      </c>
      <c r="R67" s="10">
        <f t="shared" si="7"/>
        <v>1966.6666666666667</v>
      </c>
      <c r="S67" s="10">
        <f t="shared" si="7"/>
        <v>1966.6666666666667</v>
      </c>
    </row>
    <row r="68" spans="1:19" x14ac:dyDescent="0.3">
      <c r="A68" s="7" t="s">
        <v>7</v>
      </c>
      <c r="B68" s="7" t="s">
        <v>74</v>
      </c>
      <c r="C68" s="7" t="s">
        <v>83</v>
      </c>
      <c r="D68" s="8" t="s">
        <v>83</v>
      </c>
      <c r="E68" s="9" t="s">
        <v>10</v>
      </c>
      <c r="F68" s="10">
        <v>53808</v>
      </c>
      <c r="G68" s="10">
        <f t="shared" si="1"/>
        <v>53808</v>
      </c>
      <c r="H68" s="11">
        <f t="shared" ref="H68:H75" si="8">F68/12</f>
        <v>4484</v>
      </c>
      <c r="I68" s="10">
        <f t="shared" si="7"/>
        <v>4484</v>
      </c>
      <c r="J68" s="10">
        <f t="shared" si="7"/>
        <v>4484</v>
      </c>
      <c r="K68" s="10">
        <f t="shared" si="7"/>
        <v>4484</v>
      </c>
      <c r="L68" s="10">
        <f t="shared" si="7"/>
        <v>4484</v>
      </c>
      <c r="M68" s="10">
        <f t="shared" si="7"/>
        <v>4484</v>
      </c>
      <c r="N68" s="10">
        <f t="shared" si="7"/>
        <v>4484</v>
      </c>
      <c r="O68" s="10">
        <f t="shared" si="7"/>
        <v>4484</v>
      </c>
      <c r="P68" s="10">
        <f t="shared" si="7"/>
        <v>4484</v>
      </c>
      <c r="Q68" s="10">
        <f t="shared" si="7"/>
        <v>4484</v>
      </c>
      <c r="R68" s="10">
        <f t="shared" si="7"/>
        <v>4484</v>
      </c>
      <c r="S68" s="10">
        <f t="shared" si="7"/>
        <v>4484</v>
      </c>
    </row>
    <row r="69" spans="1:19" ht="72" x14ac:dyDescent="0.3">
      <c r="A69" s="7" t="s">
        <v>7</v>
      </c>
      <c r="B69" s="7" t="s">
        <v>74</v>
      </c>
      <c r="C69" s="17" t="s">
        <v>84</v>
      </c>
      <c r="D69" s="8" t="s">
        <v>84</v>
      </c>
      <c r="E69" s="9" t="s">
        <v>10</v>
      </c>
      <c r="F69" s="10">
        <v>218772</v>
      </c>
      <c r="G69" s="10">
        <f t="shared" si="1"/>
        <v>218772</v>
      </c>
      <c r="H69" s="11">
        <f t="shared" si="8"/>
        <v>18231</v>
      </c>
      <c r="I69" s="10">
        <f t="shared" si="7"/>
        <v>18231</v>
      </c>
      <c r="J69" s="10">
        <f t="shared" si="7"/>
        <v>18231</v>
      </c>
      <c r="K69" s="10">
        <f t="shared" si="7"/>
        <v>18231</v>
      </c>
      <c r="L69" s="10">
        <f t="shared" si="7"/>
        <v>18231</v>
      </c>
      <c r="M69" s="10">
        <f t="shared" si="7"/>
        <v>18231</v>
      </c>
      <c r="N69" s="10">
        <f t="shared" si="7"/>
        <v>18231</v>
      </c>
      <c r="O69" s="10">
        <f t="shared" si="7"/>
        <v>18231</v>
      </c>
      <c r="P69" s="10">
        <f t="shared" si="7"/>
        <v>18231</v>
      </c>
      <c r="Q69" s="10">
        <f t="shared" si="7"/>
        <v>18231</v>
      </c>
      <c r="R69" s="10">
        <f t="shared" si="7"/>
        <v>18231</v>
      </c>
      <c r="S69" s="10">
        <f t="shared" si="7"/>
        <v>18231</v>
      </c>
    </row>
    <row r="70" spans="1:19" x14ac:dyDescent="0.3">
      <c r="A70" s="7" t="s">
        <v>7</v>
      </c>
      <c r="B70" s="7" t="s">
        <v>85</v>
      </c>
      <c r="C70" s="7" t="s">
        <v>85</v>
      </c>
      <c r="D70" s="7" t="s">
        <v>85</v>
      </c>
      <c r="E70" s="9" t="s">
        <v>10</v>
      </c>
      <c r="F70" s="10">
        <v>5000000</v>
      </c>
      <c r="G70" s="10">
        <f t="shared" ref="G70:G75" si="9">SUM(H70:S70)</f>
        <v>5000000</v>
      </c>
      <c r="H70" s="11">
        <f t="shared" si="8"/>
        <v>416666.66666666669</v>
      </c>
      <c r="I70" s="10">
        <f t="shared" si="7"/>
        <v>416666.66666666669</v>
      </c>
      <c r="J70" s="10">
        <f t="shared" si="7"/>
        <v>416666.66666666669</v>
      </c>
      <c r="K70" s="10">
        <f t="shared" si="7"/>
        <v>416666.66666666669</v>
      </c>
      <c r="L70" s="10">
        <f t="shared" si="7"/>
        <v>416666.66666666669</v>
      </c>
      <c r="M70" s="10">
        <f t="shared" si="7"/>
        <v>416666.66666666669</v>
      </c>
      <c r="N70" s="10">
        <f t="shared" si="7"/>
        <v>416666.66666666669</v>
      </c>
      <c r="O70" s="10">
        <f t="shared" si="7"/>
        <v>416666.66666666669</v>
      </c>
      <c r="P70" s="10">
        <f t="shared" si="7"/>
        <v>416666.66666666669</v>
      </c>
      <c r="Q70" s="10">
        <f t="shared" si="7"/>
        <v>416666.66666666669</v>
      </c>
      <c r="R70" s="10">
        <f t="shared" si="7"/>
        <v>416666.66666666669</v>
      </c>
      <c r="S70" s="10">
        <f t="shared" si="7"/>
        <v>416666.66666666669</v>
      </c>
    </row>
    <row r="71" spans="1:19" x14ac:dyDescent="0.3">
      <c r="A71" s="7" t="s">
        <v>7</v>
      </c>
      <c r="B71" s="7" t="s">
        <v>86</v>
      </c>
      <c r="C71" s="7" t="s">
        <v>86</v>
      </c>
      <c r="D71" s="7" t="s">
        <v>86</v>
      </c>
      <c r="E71" s="9" t="s">
        <v>10</v>
      </c>
      <c r="F71" s="10">
        <v>17146278.666666668</v>
      </c>
      <c r="G71" s="10">
        <f t="shared" si="9"/>
        <v>17146278.666666668</v>
      </c>
      <c r="H71" s="11">
        <f t="shared" si="8"/>
        <v>1428856.5555555557</v>
      </c>
      <c r="I71" s="10">
        <f t="shared" si="7"/>
        <v>1428856.5555555557</v>
      </c>
      <c r="J71" s="10">
        <f t="shared" si="7"/>
        <v>1428856.5555555557</v>
      </c>
      <c r="K71" s="10">
        <f t="shared" si="7"/>
        <v>1428856.5555555557</v>
      </c>
      <c r="L71" s="10">
        <f t="shared" si="7"/>
        <v>1428856.5555555557</v>
      </c>
      <c r="M71" s="10">
        <f t="shared" si="7"/>
        <v>1428856.5555555557</v>
      </c>
      <c r="N71" s="10">
        <f t="shared" si="7"/>
        <v>1428856.5555555557</v>
      </c>
      <c r="O71" s="10">
        <f t="shared" si="7"/>
        <v>1428856.5555555557</v>
      </c>
      <c r="P71" s="10">
        <f t="shared" si="7"/>
        <v>1428856.5555555557</v>
      </c>
      <c r="Q71" s="10">
        <f t="shared" si="7"/>
        <v>1428856.5555555557</v>
      </c>
      <c r="R71" s="10">
        <f t="shared" si="7"/>
        <v>1428856.5555555557</v>
      </c>
      <c r="S71" s="10">
        <f t="shared" si="7"/>
        <v>1428856.5555555557</v>
      </c>
    </row>
    <row r="72" spans="1:19" ht="57.6" x14ac:dyDescent="0.3">
      <c r="A72" s="7" t="s">
        <v>7</v>
      </c>
      <c r="B72" s="7" t="s">
        <v>87</v>
      </c>
      <c r="C72" s="7" t="s">
        <v>87</v>
      </c>
      <c r="D72" s="8" t="s">
        <v>87</v>
      </c>
      <c r="E72" s="9" t="s">
        <v>10</v>
      </c>
      <c r="F72" s="10">
        <v>70800000</v>
      </c>
      <c r="G72" s="10">
        <f t="shared" si="9"/>
        <v>70800000</v>
      </c>
      <c r="H72" s="11">
        <f t="shared" si="8"/>
        <v>5900000</v>
      </c>
      <c r="I72" s="10">
        <f t="shared" si="7"/>
        <v>5900000</v>
      </c>
      <c r="J72" s="10">
        <f t="shared" si="7"/>
        <v>5900000</v>
      </c>
      <c r="K72" s="10">
        <f t="shared" si="7"/>
        <v>5900000</v>
      </c>
      <c r="L72" s="10">
        <f t="shared" si="7"/>
        <v>5900000</v>
      </c>
      <c r="M72" s="10">
        <f t="shared" si="7"/>
        <v>5900000</v>
      </c>
      <c r="N72" s="10">
        <f t="shared" si="7"/>
        <v>5900000</v>
      </c>
      <c r="O72" s="10">
        <f t="shared" si="7"/>
        <v>5900000</v>
      </c>
      <c r="P72" s="10">
        <f t="shared" si="7"/>
        <v>5900000</v>
      </c>
      <c r="Q72" s="10">
        <f t="shared" si="7"/>
        <v>5900000</v>
      </c>
      <c r="R72" s="10">
        <f t="shared" si="7"/>
        <v>5900000</v>
      </c>
      <c r="S72" s="10">
        <f t="shared" si="7"/>
        <v>5900000</v>
      </c>
    </row>
    <row r="73" spans="1:19" ht="43.2" x14ac:dyDescent="0.3">
      <c r="A73" s="7" t="s">
        <v>7</v>
      </c>
      <c r="B73" s="7" t="s">
        <v>88</v>
      </c>
      <c r="C73" s="7" t="s">
        <v>89</v>
      </c>
      <c r="D73" s="8" t="s">
        <v>89</v>
      </c>
      <c r="E73" s="9" t="s">
        <v>10</v>
      </c>
      <c r="F73" s="10">
        <v>1139420017.7972877</v>
      </c>
      <c r="G73" s="10">
        <f t="shared" si="9"/>
        <v>1139420017.7972877</v>
      </c>
      <c r="H73" s="11">
        <f t="shared" si="8"/>
        <v>94951668.14977397</v>
      </c>
      <c r="I73" s="10">
        <f t="shared" si="7"/>
        <v>94951668.14977397</v>
      </c>
      <c r="J73" s="10">
        <f t="shared" si="7"/>
        <v>94951668.14977397</v>
      </c>
      <c r="K73" s="10">
        <f t="shared" si="7"/>
        <v>94951668.14977397</v>
      </c>
      <c r="L73" s="10">
        <f t="shared" si="7"/>
        <v>94951668.14977397</v>
      </c>
      <c r="M73" s="10">
        <f t="shared" si="7"/>
        <v>94951668.14977397</v>
      </c>
      <c r="N73" s="10">
        <f t="shared" si="7"/>
        <v>94951668.14977397</v>
      </c>
      <c r="O73" s="10">
        <f t="shared" si="7"/>
        <v>94951668.14977397</v>
      </c>
      <c r="P73" s="10">
        <f t="shared" si="7"/>
        <v>94951668.14977397</v>
      </c>
      <c r="Q73" s="10">
        <f t="shared" si="7"/>
        <v>94951668.14977397</v>
      </c>
      <c r="R73" s="10">
        <f t="shared" si="7"/>
        <v>94951668.14977397</v>
      </c>
      <c r="S73" s="10">
        <f t="shared" si="7"/>
        <v>94951668.14977397</v>
      </c>
    </row>
    <row r="74" spans="1:19" ht="72" x14ac:dyDescent="0.3">
      <c r="A74" s="7" t="s">
        <v>7</v>
      </c>
      <c r="B74" s="7" t="s">
        <v>88</v>
      </c>
      <c r="C74" s="7" t="s">
        <v>90</v>
      </c>
      <c r="D74" s="8" t="s">
        <v>90</v>
      </c>
      <c r="E74" s="9" t="s">
        <v>10</v>
      </c>
      <c r="F74" s="10">
        <v>1534000</v>
      </c>
      <c r="G74" s="10">
        <f t="shared" si="9"/>
        <v>1533999.9999999998</v>
      </c>
      <c r="H74" s="11">
        <f t="shared" si="8"/>
        <v>127833.33333333333</v>
      </c>
      <c r="I74" s="10">
        <f t="shared" si="7"/>
        <v>127833.33333333333</v>
      </c>
      <c r="J74" s="10">
        <f t="shared" si="7"/>
        <v>127833.33333333333</v>
      </c>
      <c r="K74" s="10">
        <f t="shared" si="7"/>
        <v>127833.33333333333</v>
      </c>
      <c r="L74" s="10">
        <f t="shared" si="7"/>
        <v>127833.33333333333</v>
      </c>
      <c r="M74" s="10">
        <f t="shared" si="7"/>
        <v>127833.33333333333</v>
      </c>
      <c r="N74" s="10">
        <f t="shared" si="7"/>
        <v>127833.33333333333</v>
      </c>
      <c r="O74" s="10">
        <f t="shared" si="7"/>
        <v>127833.33333333333</v>
      </c>
      <c r="P74" s="10">
        <f t="shared" si="7"/>
        <v>127833.33333333333</v>
      </c>
      <c r="Q74" s="10">
        <f t="shared" si="7"/>
        <v>127833.33333333333</v>
      </c>
      <c r="R74" s="10">
        <f t="shared" si="7"/>
        <v>127833.33333333333</v>
      </c>
      <c r="S74" s="10">
        <f t="shared" si="7"/>
        <v>127833.33333333333</v>
      </c>
    </row>
    <row r="75" spans="1:19" ht="43.2" x14ac:dyDescent="0.3">
      <c r="A75" s="7" t="s">
        <v>7</v>
      </c>
      <c r="B75" s="7" t="s">
        <v>88</v>
      </c>
      <c r="C75" s="7" t="s">
        <v>91</v>
      </c>
      <c r="D75" s="8" t="s">
        <v>91</v>
      </c>
      <c r="E75" s="9" t="s">
        <v>10</v>
      </c>
      <c r="F75" s="10">
        <v>721346.87905583787</v>
      </c>
      <c r="G75" s="10">
        <f t="shared" si="9"/>
        <v>721346.87905583763</v>
      </c>
      <c r="H75" s="11">
        <f t="shared" si="8"/>
        <v>60112.239921319822</v>
      </c>
      <c r="I75" s="10">
        <f t="shared" si="7"/>
        <v>60112.239921319822</v>
      </c>
      <c r="J75" s="10">
        <f t="shared" si="7"/>
        <v>60112.239921319822</v>
      </c>
      <c r="K75" s="10">
        <f t="shared" si="7"/>
        <v>60112.239921319822</v>
      </c>
      <c r="L75" s="10">
        <f t="shared" si="7"/>
        <v>60112.239921319822</v>
      </c>
      <c r="M75" s="10">
        <f t="shared" si="7"/>
        <v>60112.239921319822</v>
      </c>
      <c r="N75" s="10">
        <f t="shared" si="7"/>
        <v>60112.239921319822</v>
      </c>
      <c r="O75" s="10">
        <f t="shared" si="7"/>
        <v>60112.239921319822</v>
      </c>
      <c r="P75" s="10">
        <f t="shared" si="7"/>
        <v>60112.239921319822</v>
      </c>
      <c r="Q75" s="10">
        <f t="shared" si="7"/>
        <v>60112.239921319822</v>
      </c>
      <c r="R75" s="10">
        <f t="shared" si="7"/>
        <v>60112.239921319822</v>
      </c>
      <c r="S75" s="10">
        <f t="shared" si="7"/>
        <v>60112.239921319822</v>
      </c>
    </row>
    <row r="76" spans="1:19" x14ac:dyDescent="0.3">
      <c r="A76" s="1" t="s">
        <v>92</v>
      </c>
      <c r="B76" s="18"/>
      <c r="C76" s="18"/>
      <c r="D76" s="18"/>
      <c r="E76" s="19"/>
      <c r="F76" s="20">
        <f t="shared" ref="F76:S76" si="10">SUM(F2:F75)</f>
        <v>1456838352.2245748</v>
      </c>
      <c r="G76" s="20">
        <f t="shared" si="10"/>
        <v>1456838352.2245748</v>
      </c>
      <c r="H76" s="20">
        <f t="shared" si="10"/>
        <v>121403196.01871458</v>
      </c>
      <c r="I76" s="20">
        <f t="shared" si="10"/>
        <v>121403196.01871458</v>
      </c>
      <c r="J76" s="20">
        <f t="shared" si="10"/>
        <v>121403196.01871458</v>
      </c>
      <c r="K76" s="20">
        <f t="shared" si="10"/>
        <v>121403196.01871458</v>
      </c>
      <c r="L76" s="20">
        <f t="shared" si="10"/>
        <v>121403196.01871458</v>
      </c>
      <c r="M76" s="20">
        <f t="shared" si="10"/>
        <v>121403196.01871458</v>
      </c>
      <c r="N76" s="20">
        <f t="shared" si="10"/>
        <v>121403196.01871458</v>
      </c>
      <c r="O76" s="20">
        <f t="shared" si="10"/>
        <v>121403196.01871458</v>
      </c>
      <c r="P76" s="20">
        <f t="shared" si="10"/>
        <v>121403196.01871458</v>
      </c>
      <c r="Q76" s="20">
        <f t="shared" si="10"/>
        <v>121403196.01871458</v>
      </c>
      <c r="R76" s="20">
        <f t="shared" si="10"/>
        <v>121403196.01871458</v>
      </c>
      <c r="S76" s="20">
        <f t="shared" si="10"/>
        <v>121403196.01871458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Ranganathan Narayanan</dc:creator>
  <cp:lastModifiedBy>ravi g</cp:lastModifiedBy>
  <dcterms:created xsi:type="dcterms:W3CDTF">2024-06-04T08:08:08Z</dcterms:created>
  <dcterms:modified xsi:type="dcterms:W3CDTF">2024-06-04T08:11:17Z</dcterms:modified>
</cp:coreProperties>
</file>